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met\Desktop\karaagac-fatih-web\"/>
    </mc:Choice>
  </mc:AlternateContent>
  <xr:revisionPtr revIDLastSave="0" documentId="13_ncr:1_{D1BB850C-436A-4508-A739-1E61D211946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GİDER" sheetId="1" r:id="rId1"/>
    <sheet name="Sayfa1" sheetId="3" r:id="rId2"/>
    <sheet name="GELİ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D19" i="3"/>
  <c r="E19" i="3"/>
  <c r="F19" i="3"/>
  <c r="G19" i="3"/>
  <c r="B19" i="3"/>
  <c r="K91" i="1"/>
  <c r="J91" i="1"/>
  <c r="I91" i="1"/>
  <c r="H91" i="1"/>
  <c r="K90" i="1"/>
  <c r="J90" i="1"/>
  <c r="I90" i="1"/>
  <c r="H90" i="1"/>
  <c r="K89" i="1"/>
  <c r="J89" i="1"/>
  <c r="I89" i="1"/>
  <c r="H89" i="1"/>
  <c r="E44" i="2"/>
  <c r="D44" i="2"/>
  <c r="C44" i="2"/>
  <c r="E40" i="2"/>
  <c r="D40" i="2"/>
  <c r="C40" i="2"/>
  <c r="D36" i="2"/>
  <c r="E36" i="2"/>
  <c r="C36" i="2"/>
  <c r="D28" i="2"/>
  <c r="E28" i="2"/>
  <c r="C28" i="2"/>
  <c r="E25" i="2"/>
  <c r="D25" i="2"/>
  <c r="C25" i="2"/>
  <c r="D19" i="2"/>
  <c r="E19" i="2"/>
  <c r="C19" i="2"/>
  <c r="E16" i="2"/>
  <c r="D16" i="2"/>
  <c r="C16" i="2"/>
  <c r="D8" i="2"/>
  <c r="E8" i="2"/>
  <c r="C8" i="2"/>
  <c r="D5" i="2"/>
  <c r="E5" i="2"/>
  <c r="C5" i="2"/>
  <c r="J46" i="2"/>
  <c r="I46" i="2"/>
  <c r="H46" i="2"/>
  <c r="G46" i="2"/>
  <c r="J45" i="2"/>
  <c r="I45" i="2"/>
  <c r="H45" i="2"/>
  <c r="G45" i="2"/>
  <c r="J42" i="2"/>
  <c r="I42" i="2"/>
  <c r="H42" i="2"/>
  <c r="G42" i="2"/>
  <c r="J41" i="2"/>
  <c r="I41" i="2"/>
  <c r="H41" i="2"/>
  <c r="G41" i="2"/>
  <c r="J38" i="2"/>
  <c r="I38" i="2"/>
  <c r="H38" i="2"/>
  <c r="G38" i="2"/>
  <c r="J37" i="2"/>
  <c r="I37" i="2"/>
  <c r="H37" i="2"/>
  <c r="G37" i="2"/>
  <c r="G30" i="2"/>
  <c r="H30" i="2"/>
  <c r="I30" i="2"/>
  <c r="J30" i="2"/>
  <c r="G31" i="2"/>
  <c r="H31" i="2"/>
  <c r="I31" i="2"/>
  <c r="J31" i="2"/>
  <c r="G32" i="2"/>
  <c r="H32" i="2"/>
  <c r="I32" i="2"/>
  <c r="J32" i="2"/>
  <c r="G33" i="2"/>
  <c r="H33" i="2"/>
  <c r="I33" i="2"/>
  <c r="J33" i="2"/>
  <c r="J29" i="2"/>
  <c r="I29" i="2"/>
  <c r="H29" i="2"/>
  <c r="G29" i="2"/>
  <c r="J26" i="2"/>
  <c r="I26" i="2"/>
  <c r="H26" i="2"/>
  <c r="G26" i="2"/>
  <c r="J22" i="2"/>
  <c r="I22" i="2"/>
  <c r="H22" i="2"/>
  <c r="G22" i="2"/>
  <c r="J20" i="2"/>
  <c r="I20" i="2"/>
  <c r="H20" i="2"/>
  <c r="G20" i="2"/>
  <c r="J17" i="2"/>
  <c r="I17" i="2"/>
  <c r="H17" i="2"/>
  <c r="G17" i="2"/>
  <c r="J13" i="2"/>
  <c r="I13" i="2"/>
  <c r="H13" i="2"/>
  <c r="G13" i="2"/>
  <c r="J9" i="2"/>
  <c r="I9" i="2"/>
  <c r="H9" i="2"/>
  <c r="G9" i="2"/>
  <c r="J6" i="2"/>
  <c r="I6" i="2"/>
  <c r="H6" i="2"/>
  <c r="G6" i="2"/>
  <c r="F93" i="1"/>
  <c r="E93" i="1"/>
  <c r="D93" i="1"/>
  <c r="F85" i="1"/>
  <c r="E85" i="1"/>
  <c r="D85" i="1"/>
  <c r="E77" i="1"/>
  <c r="F77" i="1"/>
  <c r="D77" i="1"/>
  <c r="E72" i="1"/>
  <c r="F72" i="1"/>
  <c r="D72" i="1"/>
  <c r="F66" i="1"/>
  <c r="E66" i="1"/>
  <c r="D66" i="1"/>
  <c r="F63" i="1"/>
  <c r="E63" i="1"/>
  <c r="D63" i="1"/>
  <c r="E58" i="1"/>
  <c r="F58" i="1"/>
  <c r="D58" i="1"/>
  <c r="E50" i="1"/>
  <c r="F50" i="1"/>
  <c r="D50" i="1"/>
  <c r="F47" i="1"/>
  <c r="E47" i="1"/>
  <c r="D47" i="1"/>
  <c r="F44" i="1"/>
  <c r="E44" i="1"/>
  <c r="D44" i="1"/>
  <c r="F40" i="1"/>
  <c r="E40" i="1"/>
  <c r="D40" i="1"/>
  <c r="E32" i="1"/>
  <c r="F32" i="1"/>
  <c r="D32" i="1"/>
  <c r="F27" i="1"/>
  <c r="E27" i="1"/>
  <c r="D27" i="1"/>
  <c r="F24" i="1"/>
  <c r="E24" i="1"/>
  <c r="D24" i="1"/>
  <c r="E15" i="1"/>
  <c r="F15" i="1"/>
  <c r="D15" i="1"/>
  <c r="D6" i="1" s="1"/>
  <c r="F11" i="1"/>
  <c r="F6" i="1" s="1"/>
  <c r="E11" i="1"/>
  <c r="D11" i="1"/>
  <c r="E7" i="1"/>
  <c r="E6" i="1" s="1"/>
  <c r="F7" i="1"/>
  <c r="D7" i="1"/>
  <c r="H97" i="1"/>
  <c r="I97" i="1"/>
  <c r="J97" i="1"/>
  <c r="K97" i="1"/>
  <c r="H98" i="1"/>
  <c r="I98" i="1"/>
  <c r="J98" i="1"/>
  <c r="K98" i="1"/>
  <c r="K96" i="1"/>
  <c r="J96" i="1"/>
  <c r="I96" i="1"/>
  <c r="H96" i="1"/>
  <c r="K95" i="1"/>
  <c r="J95" i="1"/>
  <c r="I95" i="1"/>
  <c r="H95" i="1"/>
  <c r="K94" i="1"/>
  <c r="J94" i="1"/>
  <c r="I94" i="1"/>
  <c r="H94" i="1"/>
  <c r="H87" i="1"/>
  <c r="I87" i="1"/>
  <c r="J87" i="1"/>
  <c r="K87" i="1"/>
  <c r="H88" i="1"/>
  <c r="I88" i="1"/>
  <c r="J88" i="1"/>
  <c r="K88" i="1"/>
  <c r="K86" i="1"/>
  <c r="J86" i="1"/>
  <c r="I86" i="1"/>
  <c r="H86" i="1"/>
  <c r="H81" i="1"/>
  <c r="I81" i="1"/>
  <c r="J81" i="1"/>
  <c r="K81" i="1"/>
  <c r="H82" i="1"/>
  <c r="I82" i="1"/>
  <c r="J82" i="1"/>
  <c r="K82" i="1"/>
  <c r="H83" i="1"/>
  <c r="I83" i="1"/>
  <c r="J83" i="1"/>
  <c r="K83" i="1"/>
  <c r="K80" i="1"/>
  <c r="J80" i="1"/>
  <c r="I80" i="1"/>
  <c r="H80" i="1"/>
  <c r="K79" i="1"/>
  <c r="J79" i="1"/>
  <c r="I79" i="1"/>
  <c r="H79" i="1"/>
  <c r="K78" i="1"/>
  <c r="J78" i="1"/>
  <c r="I78" i="1"/>
  <c r="H78" i="1"/>
  <c r="H74" i="1"/>
  <c r="I74" i="1"/>
  <c r="J74" i="1"/>
  <c r="K74" i="1"/>
  <c r="H75" i="1"/>
  <c r="I75" i="1"/>
  <c r="J75" i="1"/>
  <c r="K75" i="1"/>
  <c r="K73" i="1"/>
  <c r="J73" i="1"/>
  <c r="I73" i="1"/>
  <c r="H73" i="1"/>
  <c r="H68" i="1"/>
  <c r="I68" i="1"/>
  <c r="J68" i="1"/>
  <c r="K68" i="1"/>
  <c r="H69" i="1"/>
  <c r="I69" i="1"/>
  <c r="J69" i="1"/>
  <c r="K69" i="1"/>
  <c r="H70" i="1"/>
  <c r="I70" i="1"/>
  <c r="J70" i="1"/>
  <c r="K70" i="1"/>
  <c r="K67" i="1"/>
  <c r="J67" i="1"/>
  <c r="I67" i="1"/>
  <c r="H67" i="1"/>
  <c r="K64" i="1"/>
  <c r="J64" i="1"/>
  <c r="I64" i="1"/>
  <c r="H64" i="1"/>
  <c r="H60" i="1"/>
  <c r="I60" i="1"/>
  <c r="J60" i="1"/>
  <c r="K60" i="1"/>
  <c r="H61" i="1"/>
  <c r="I61" i="1"/>
  <c r="J61" i="1"/>
  <c r="K61" i="1"/>
  <c r="K59" i="1"/>
  <c r="J59" i="1"/>
  <c r="I59" i="1"/>
  <c r="H59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K51" i="1"/>
  <c r="J51" i="1"/>
  <c r="I51" i="1"/>
  <c r="H51" i="1"/>
  <c r="K48" i="1"/>
  <c r="J48" i="1"/>
  <c r="I48" i="1"/>
  <c r="H48" i="1"/>
  <c r="K45" i="1"/>
  <c r="J45" i="1"/>
  <c r="I45" i="1"/>
  <c r="H45" i="1"/>
  <c r="K42" i="1"/>
  <c r="J42" i="1"/>
  <c r="I42" i="1"/>
  <c r="H42" i="1"/>
  <c r="K41" i="1"/>
  <c r="J41" i="1"/>
  <c r="I41" i="1"/>
  <c r="H41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K33" i="1"/>
  <c r="J33" i="1"/>
  <c r="I33" i="1"/>
  <c r="H33" i="1"/>
  <c r="K29" i="1"/>
  <c r="J29" i="1"/>
  <c r="I29" i="1"/>
  <c r="H29" i="1"/>
  <c r="K28" i="1"/>
  <c r="J28" i="1"/>
  <c r="I28" i="1"/>
  <c r="H28" i="1"/>
  <c r="K25" i="1"/>
  <c r="J25" i="1"/>
  <c r="I25" i="1"/>
  <c r="H25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K16" i="1"/>
  <c r="J16" i="1"/>
  <c r="I16" i="1"/>
  <c r="H16" i="1"/>
  <c r="H13" i="1"/>
  <c r="I13" i="1"/>
  <c r="J13" i="1"/>
  <c r="K13" i="1"/>
  <c r="K12" i="1"/>
  <c r="J12" i="1"/>
  <c r="I12" i="1"/>
  <c r="H12" i="1"/>
  <c r="H9" i="1"/>
  <c r="I9" i="1"/>
  <c r="J9" i="1"/>
  <c r="K9" i="1"/>
  <c r="K8" i="1"/>
  <c r="J8" i="1"/>
  <c r="I8" i="1"/>
  <c r="H8" i="1"/>
</calcChain>
</file>

<file path=xl/sharedStrings.xml><?xml version="1.0" encoding="utf-8"?>
<sst xmlns="http://schemas.openxmlformats.org/spreadsheetml/2006/main" count="169" uniqueCount="134">
  <si>
    <t>Araç Masrafları</t>
  </si>
  <si>
    <t>Araç Tamir ve Bakım Giderleri</t>
  </si>
  <si>
    <t>Araç Yıkama Giderleri</t>
  </si>
  <si>
    <t>Araç Yakıt Giderleri</t>
  </si>
  <si>
    <t>Araç Yakıt Giderleri (Diğer ve Şahsi)</t>
  </si>
  <si>
    <t>Diğer Giderler</t>
  </si>
  <si>
    <t>Misafir Ağırlama Giderleri</t>
  </si>
  <si>
    <t>Jeneratör Giderleri</t>
  </si>
  <si>
    <t>İlaçlama Giderleri</t>
  </si>
  <si>
    <t>Reklam ve Tanıtım Giderleri</t>
  </si>
  <si>
    <t>Yıkama ve Temizlik Giderleri</t>
  </si>
  <si>
    <t>OSGB İş Güvenliği Giderleri</t>
  </si>
  <si>
    <t>Muhtelif Giderler</t>
  </si>
  <si>
    <t>Diğer Kurumlara Yardım</t>
  </si>
  <si>
    <t>Diğer Yurtlara Yardım</t>
  </si>
  <si>
    <t>Eğitim</t>
  </si>
  <si>
    <t>Kırtasiye Malzemesi</t>
  </si>
  <si>
    <t>Eğitim ve Öğretmen Giderleri</t>
  </si>
  <si>
    <t>Fatura Giderleri</t>
  </si>
  <si>
    <t>Isınma Giderleri</t>
  </si>
  <si>
    <t>Elektrik Giderleri</t>
  </si>
  <si>
    <t>Su Giderleri</t>
  </si>
  <si>
    <t>Telefon Giderleri</t>
  </si>
  <si>
    <t>İnternet Giderleri</t>
  </si>
  <si>
    <t>Haberleşme Yardımı Gideri</t>
  </si>
  <si>
    <t>Finansal Giderler</t>
  </si>
  <si>
    <t>Banka Giderleri</t>
  </si>
  <si>
    <t>İaşe Giderleri</t>
  </si>
  <si>
    <t>İşçilik Giderleri</t>
  </si>
  <si>
    <t>Tamir İşçilik Giderleri</t>
  </si>
  <si>
    <t>Personel Hediye</t>
  </si>
  <si>
    <t>Personel Hocaefendi Hediyeleri</t>
  </si>
  <si>
    <t>Personel Asker Yardımı</t>
  </si>
  <si>
    <t>Personel Aşçı Hediyeleri (Aşçıbaşı-Usta)</t>
  </si>
  <si>
    <t>Personel Aşçı Yardımcı Hediyeleri (Kalfa, Çırak)</t>
  </si>
  <si>
    <t>Sıbyan Okutucu Ödemeleri</t>
  </si>
  <si>
    <t>Personel Diğer Mutfak Hediyeleri</t>
  </si>
  <si>
    <t>Personel Kira</t>
  </si>
  <si>
    <t>Personel Kira Giderleri</t>
  </si>
  <si>
    <t>Personel Ev Taşıma Gideri</t>
  </si>
  <si>
    <t>Personel Emlakçı Komisyonu</t>
  </si>
  <si>
    <t>Personel Sigorta</t>
  </si>
  <si>
    <t>Personel SGK Primleri</t>
  </si>
  <si>
    <t>Ramazan-ı Şerif</t>
  </si>
  <si>
    <t>Ramazan-ı Şerif Teberru</t>
  </si>
  <si>
    <t>Ramazan-ı Şerif İftar</t>
  </si>
  <si>
    <t>Ramazan-ı Şerif Sahur</t>
  </si>
  <si>
    <t>Ramazan-ı Şerif Zarf</t>
  </si>
  <si>
    <t>Ramazan-ı Şerif Taahhüt</t>
  </si>
  <si>
    <t>Ramazan-ı Şerif Kumanya</t>
  </si>
  <si>
    <t>Seyahat Giderleri</t>
  </si>
  <si>
    <t>Kargo ve Nakliye Giderleri</t>
  </si>
  <si>
    <t>Seyahat ve Yol Giderleri</t>
  </si>
  <si>
    <t>Araç Geçiş Ücretleri</t>
  </si>
  <si>
    <t>Araç Otopark Gideri</t>
  </si>
  <si>
    <t>Sigorta Giderleri</t>
  </si>
  <si>
    <t>Bina Sigorta Giderleri</t>
  </si>
  <si>
    <t>Araç Trafik Sigortası</t>
  </si>
  <si>
    <t>Araç Kasko Giderleri</t>
  </si>
  <si>
    <t>Sosyal Yardım</t>
  </si>
  <si>
    <t>Personel Yol Yardımı</t>
  </si>
  <si>
    <t>Personel Yakacak Yardımı</t>
  </si>
  <si>
    <t>Personel Bayram İkramiyesi</t>
  </si>
  <si>
    <t>Personel Elbise Yardımı</t>
  </si>
  <si>
    <t>Personel Düğün Yardımı</t>
  </si>
  <si>
    <t>Personel Çocuk Yardımı</t>
  </si>
  <si>
    <t>Talebe Giderleri</t>
  </si>
  <si>
    <t>Sağlık ve İlaç Giderleri</t>
  </si>
  <si>
    <t>Talebe Servis Giderleri</t>
  </si>
  <si>
    <t>Veli Teberru</t>
  </si>
  <si>
    <t>Veli Teberruları</t>
  </si>
  <si>
    <t>Eğitim Gelirleri</t>
  </si>
  <si>
    <t>Stopaj Giderleri</t>
  </si>
  <si>
    <t>Araç MTV Giderleri</t>
  </si>
  <si>
    <t>Araç Muayene Giderleri</t>
  </si>
  <si>
    <t>Vergi Resim ve Harçlar</t>
  </si>
  <si>
    <t>Noter, Mahkeme Giderleri</t>
  </si>
  <si>
    <t>Vergiler</t>
  </si>
  <si>
    <t>Finansal Gelirler</t>
  </si>
  <si>
    <t>Sigorta Hasar Gelirleri</t>
  </si>
  <si>
    <t>Kermes</t>
  </si>
  <si>
    <t>Kermes Gıda Gelirleri</t>
  </si>
  <si>
    <t>Kermes Giyim Gelirleri</t>
  </si>
  <si>
    <t>Kermes Çeyiz Gelirleri</t>
  </si>
  <si>
    <t>Kermes Diğer Gelirler</t>
  </si>
  <si>
    <t>Kermes Teberru Gelirleri</t>
  </si>
  <si>
    <t>Kermes Yemek-Kahvaltı Gelirleri</t>
  </si>
  <si>
    <t>Kumbara</t>
  </si>
  <si>
    <t>Kumbara Gelirleri</t>
  </si>
  <si>
    <t>Kurban</t>
  </si>
  <si>
    <t>Büyükbaş Geliri</t>
  </si>
  <si>
    <t>Küçükbaş Geliri</t>
  </si>
  <si>
    <t>Bağış Kurban</t>
  </si>
  <si>
    <t>Yurtdışı Kurban</t>
  </si>
  <si>
    <t>Diğer Kurumlardan Yardım</t>
  </si>
  <si>
    <t>Diğer Yurtlardan Yardım</t>
  </si>
  <si>
    <t>Teberru</t>
  </si>
  <si>
    <t>Teberru Gelirleri</t>
  </si>
  <si>
    <t>Aidat Gelirleri</t>
  </si>
  <si>
    <t>Teşvik</t>
  </si>
  <si>
    <t>SGK İndirim Gelirleri</t>
  </si>
  <si>
    <t>İŞKUR Gelirleri</t>
  </si>
  <si>
    <t>yakıt - bakım</t>
  </si>
  <si>
    <t>nevresim halı</t>
  </si>
  <si>
    <t>nehari merkezi fatura ödeme - perde</t>
  </si>
  <si>
    <t>Boya - Kazan Dairesi Panel - Bahçe Temizlik - Taş Döşeme - Doğalgaz Tesisat - Kamelya</t>
  </si>
  <si>
    <t>Ağaç - Kalıp - Taş - Mermer - Çimento</t>
  </si>
  <si>
    <t>Muhacir İkamet</t>
  </si>
  <si>
    <t>MEB kurum net</t>
  </si>
  <si>
    <t>terlik</t>
  </si>
  <si>
    <t>Muhasebeci Ücreti -Mali Müşavirlik-</t>
  </si>
  <si>
    <t>Burak Serin - komisyon - mıntıka ..</t>
  </si>
  <si>
    <t>Defter Tasdiki-vekalet-imza sirküsü</t>
  </si>
  <si>
    <t>24 (aöl-tahriri) + 25(nehari -sertifika-tg deneme)</t>
  </si>
  <si>
    <t>25(pos dahil)</t>
  </si>
  <si>
    <t>Diğer</t>
  </si>
  <si>
    <t>GİDERLER</t>
  </si>
  <si>
    <t>2023 &gt; 2024</t>
  </si>
  <si>
    <t>2024 &gt; 2025</t>
  </si>
  <si>
    <t>Yüzde</t>
  </si>
  <si>
    <t>Tutar</t>
  </si>
  <si>
    <t>Gelirler</t>
  </si>
  <si>
    <t>Muhacir Cep Harçlığı</t>
  </si>
  <si>
    <t>Gelir</t>
  </si>
  <si>
    <t>Toplam</t>
  </si>
  <si>
    <t>Ramazanı Şerif</t>
  </si>
  <si>
    <t>Kurumlardan Yardım</t>
  </si>
  <si>
    <t>Anaokulu</t>
  </si>
  <si>
    <t>Kampanya</t>
  </si>
  <si>
    <t>Kira</t>
  </si>
  <si>
    <t>Gider</t>
  </si>
  <si>
    <t>Malzeme Alımı</t>
  </si>
  <si>
    <t>Kira Giderleri</t>
  </si>
  <si>
    <t>Bina - Demirbaş Yatırımları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</si>
</sst>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₺&quot;#,##0.00"/>
    <numFmt numFmtId="165" formatCode="&quot;₺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165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left" vertical="center"/>
    </xf>
    <xf numFmtId="9" fontId="0" fillId="0" borderId="0" xfId="1" applyFont="1" applyFill="1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165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9" fontId="0" fillId="4" borderId="0" xfId="1" applyFont="1" applyFill="1" applyAlignment="1">
      <alignment horizontal="center" vertical="center"/>
    </xf>
    <xf numFmtId="165" fontId="0" fillId="4" borderId="0" xfId="1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showGridLines="0" workbookViewId="0">
      <selection activeCell="D5" sqref="D5"/>
    </sheetView>
  </sheetViews>
  <sheetFormatPr defaultRowHeight="15" x14ac:dyDescent="0.25"/>
  <cols>
    <col min="1" max="1" width="32.7109375" style="5" customWidth="1"/>
    <col min="2" max="2" width="28.85546875" style="5" customWidth="1"/>
    <col min="3" max="3" width="3" style="5" customWidth="1"/>
    <col min="4" max="6" width="13.5703125" style="6" customWidth="1"/>
    <col min="7" max="7" width="6" style="6" customWidth="1"/>
    <col min="8" max="11" width="13.5703125" style="6" customWidth="1"/>
    <col min="12" max="16384" width="9.140625" style="5"/>
  </cols>
  <sheetData>
    <row r="1" spans="1:11" ht="31.5" customHeight="1" x14ac:dyDescent="0.25">
      <c r="A1" s="36" t="s">
        <v>116</v>
      </c>
      <c r="B1" s="36"/>
    </row>
    <row r="2" spans="1:11" ht="28.5" customHeight="1" x14ac:dyDescent="0.25">
      <c r="A2" s="36"/>
      <c r="B2" s="36"/>
      <c r="H2" s="37" t="s">
        <v>117</v>
      </c>
      <c r="I2" s="37"/>
      <c r="J2" s="37" t="s">
        <v>118</v>
      </c>
      <c r="K2" s="37"/>
    </row>
    <row r="3" spans="1:11" ht="24.75" customHeight="1" x14ac:dyDescent="0.25">
      <c r="D3" s="10">
        <v>2023</v>
      </c>
      <c r="E3" s="10">
        <v>2024</v>
      </c>
      <c r="F3" s="10">
        <v>2025</v>
      </c>
      <c r="G3" s="10"/>
      <c r="H3" s="10" t="s">
        <v>119</v>
      </c>
      <c r="I3" s="10" t="s">
        <v>120</v>
      </c>
      <c r="J3" s="10" t="s">
        <v>119</v>
      </c>
      <c r="K3" s="10" t="s">
        <v>120</v>
      </c>
    </row>
    <row r="4" spans="1:11" ht="24.75" customHeight="1" x14ac:dyDescent="0.25">
      <c r="D4" s="10"/>
      <c r="E4" s="10"/>
      <c r="F4" s="10"/>
      <c r="G4" s="10"/>
      <c r="H4" s="10"/>
      <c r="I4" s="10"/>
      <c r="J4" s="10"/>
      <c r="K4" s="10"/>
    </row>
    <row r="5" spans="1:11" ht="24.75" customHeight="1" x14ac:dyDescent="0.25">
      <c r="D5" s="10"/>
      <c r="E5" s="10"/>
      <c r="F5" s="10"/>
      <c r="G5" s="10"/>
      <c r="H5" s="10"/>
      <c r="I5" s="10"/>
      <c r="J5" s="10"/>
      <c r="K5" s="10"/>
    </row>
    <row r="6" spans="1:11" ht="54.75" customHeight="1" x14ac:dyDescent="0.25">
      <c r="D6" s="4">
        <f>SUM(D7,D11,D15,D24,D27,D32,D40,D44,D47,D50,D58,D63,D66,D72,D77,D85,D93)</f>
        <v>2883954</v>
      </c>
      <c r="E6" s="4">
        <f t="shared" ref="E6:F6" si="0">SUM(E7,E11,E15,E24,E27,E32,E40,E44,E47,E50,E58,E63,E66,E72,E77,E85,E93)</f>
        <v>5023640.45</v>
      </c>
      <c r="F6" s="4">
        <f t="shared" si="0"/>
        <v>7877233</v>
      </c>
    </row>
    <row r="7" spans="1:11" ht="33" customHeight="1" x14ac:dyDescent="0.25">
      <c r="A7" s="38" t="s">
        <v>0</v>
      </c>
      <c r="B7" s="38"/>
      <c r="C7" s="22"/>
      <c r="D7" s="23">
        <f>SUM(D8:D9)</f>
        <v>69650</v>
      </c>
      <c r="E7" s="23">
        <f t="shared" ref="E7:F7" si="1">SUM(E8:E9)</f>
        <v>197841</v>
      </c>
      <c r="F7" s="23">
        <f t="shared" si="1"/>
        <v>42650</v>
      </c>
      <c r="G7" s="24"/>
      <c r="H7" s="24"/>
      <c r="I7" s="24"/>
      <c r="J7" s="24"/>
      <c r="K7" s="24"/>
    </row>
    <row r="8" spans="1:11" x14ac:dyDescent="0.25">
      <c r="A8" s="5" t="s">
        <v>1</v>
      </c>
      <c r="D8" s="4">
        <v>68780</v>
      </c>
      <c r="E8" s="4">
        <v>197841</v>
      </c>
      <c r="F8" s="4">
        <v>39650</v>
      </c>
      <c r="G8" s="7"/>
      <c r="H8" s="8">
        <f>(E8-D8)/D8</f>
        <v>1.8764321023553359</v>
      </c>
      <c r="I8" s="9">
        <f>E8-D8</f>
        <v>129061</v>
      </c>
      <c r="J8" s="8">
        <f>(F8-E8)/E8</f>
        <v>-0.79958653666328006</v>
      </c>
      <c r="K8" s="4">
        <f>F8-E8</f>
        <v>-158191</v>
      </c>
    </row>
    <row r="9" spans="1:11" x14ac:dyDescent="0.25">
      <c r="A9" s="16" t="s">
        <v>2</v>
      </c>
      <c r="B9" s="16"/>
      <c r="C9" s="16"/>
      <c r="D9" s="17">
        <v>870</v>
      </c>
      <c r="E9" s="17"/>
      <c r="F9" s="17">
        <v>3000</v>
      </c>
      <c r="G9" s="18"/>
      <c r="H9" s="19">
        <f>(E9-D9)/D9</f>
        <v>-1</v>
      </c>
      <c r="I9" s="20">
        <f>E9-D9</f>
        <v>-870</v>
      </c>
      <c r="J9" s="19" t="e">
        <f>(F9-E9)/E9</f>
        <v>#DIV/0!</v>
      </c>
      <c r="K9" s="17">
        <f>F9-E9</f>
        <v>3000</v>
      </c>
    </row>
    <row r="10" spans="1:11" x14ac:dyDescent="0.25">
      <c r="D10" s="4"/>
      <c r="E10" s="4"/>
      <c r="F10" s="4"/>
      <c r="G10" s="7"/>
    </row>
    <row r="11" spans="1:11" ht="33" customHeight="1" x14ac:dyDescent="0.25">
      <c r="A11" s="38" t="s">
        <v>3</v>
      </c>
      <c r="B11" s="38"/>
      <c r="C11" s="22"/>
      <c r="D11" s="23">
        <f>SUM(D12:D13)</f>
        <v>121292</v>
      </c>
      <c r="E11" s="23">
        <f t="shared" ref="E11" si="2">SUM(E12:E13)</f>
        <v>147933</v>
      </c>
      <c r="F11" s="23">
        <f t="shared" ref="F11" si="3">SUM(F12:F13)</f>
        <v>131047</v>
      </c>
      <c r="G11" s="24"/>
      <c r="H11" s="24"/>
      <c r="I11" s="24"/>
      <c r="J11" s="24"/>
      <c r="K11" s="24"/>
    </row>
    <row r="12" spans="1:11" x14ac:dyDescent="0.25">
      <c r="A12" s="5" t="s">
        <v>3</v>
      </c>
      <c r="D12" s="4">
        <v>106092</v>
      </c>
      <c r="E12" s="4">
        <v>106990</v>
      </c>
      <c r="F12" s="4">
        <v>104010</v>
      </c>
      <c r="G12" s="7"/>
      <c r="H12" s="8">
        <f>(E12-D12)/D12</f>
        <v>8.4643516947554946E-3</v>
      </c>
      <c r="I12" s="9">
        <f>E12-D12</f>
        <v>898</v>
      </c>
      <c r="J12" s="8">
        <f>(F12-E12)/E12</f>
        <v>-2.7853070380409385E-2</v>
      </c>
      <c r="K12" s="4">
        <f>F12-E12</f>
        <v>-2980</v>
      </c>
    </row>
    <row r="13" spans="1:11" x14ac:dyDescent="0.25">
      <c r="A13" s="16" t="s">
        <v>4</v>
      </c>
      <c r="B13" s="16"/>
      <c r="C13" s="16"/>
      <c r="D13" s="17">
        <v>15200</v>
      </c>
      <c r="E13" s="17">
        <v>40943</v>
      </c>
      <c r="F13" s="17">
        <v>27037</v>
      </c>
      <c r="G13" s="18"/>
      <c r="H13" s="19">
        <f>(E13-D13)/D13</f>
        <v>1.6936184210526315</v>
      </c>
      <c r="I13" s="20">
        <f>E13-D13</f>
        <v>25743</v>
      </c>
      <c r="J13" s="19">
        <f>(F13-E13)/E13</f>
        <v>-0.3396429182033559</v>
      </c>
      <c r="K13" s="17">
        <f>F13-E13</f>
        <v>-13906</v>
      </c>
    </row>
    <row r="14" spans="1:11" x14ac:dyDescent="0.25">
      <c r="D14" s="4"/>
      <c r="E14" s="4"/>
      <c r="F14" s="4"/>
      <c r="G14" s="7"/>
    </row>
    <row r="15" spans="1:11" ht="33" customHeight="1" x14ac:dyDescent="0.25">
      <c r="A15" s="38" t="s">
        <v>5</v>
      </c>
      <c r="B15" s="38"/>
      <c r="C15" s="22"/>
      <c r="D15" s="23">
        <f>SUM(D16:D22)</f>
        <v>14835</v>
      </c>
      <c r="E15" s="23">
        <f t="shared" ref="E15:F15" si="4">SUM(E16:E22)</f>
        <v>64150</v>
      </c>
      <c r="F15" s="23">
        <f t="shared" si="4"/>
        <v>57870</v>
      </c>
      <c r="G15" s="25"/>
      <c r="H15" s="24"/>
      <c r="I15" s="24"/>
      <c r="J15" s="24"/>
      <c r="K15" s="24"/>
    </row>
    <row r="16" spans="1:11" x14ac:dyDescent="0.25">
      <c r="A16" s="5" t="s">
        <v>6</v>
      </c>
      <c r="B16" s="5" t="s">
        <v>109</v>
      </c>
      <c r="D16" s="4"/>
      <c r="E16" s="4">
        <v>13400</v>
      </c>
      <c r="F16" s="4">
        <v>23625</v>
      </c>
      <c r="G16" s="7"/>
      <c r="H16" s="8" t="e">
        <f>(E16-D16)/D16</f>
        <v>#DIV/0!</v>
      </c>
      <c r="I16" s="9">
        <f>E16-D16</f>
        <v>13400</v>
      </c>
      <c r="J16" s="8">
        <f>(F16-E16)/E16</f>
        <v>0.76305970149253732</v>
      </c>
      <c r="K16" s="4">
        <f>F16-E16</f>
        <v>10225</v>
      </c>
    </row>
    <row r="17" spans="1:11" x14ac:dyDescent="0.25">
      <c r="A17" s="16" t="s">
        <v>7</v>
      </c>
      <c r="B17" s="16" t="s">
        <v>102</v>
      </c>
      <c r="C17" s="16"/>
      <c r="D17" s="17">
        <v>780</v>
      </c>
      <c r="E17" s="17">
        <v>3000</v>
      </c>
      <c r="F17" s="17">
        <v>3655</v>
      </c>
      <c r="G17" s="18"/>
      <c r="H17" s="19">
        <f t="shared" ref="H17:H22" si="5">(E17-D17)/D17</f>
        <v>2.8461538461538463</v>
      </c>
      <c r="I17" s="20">
        <f t="shared" ref="I17:I22" si="6">E17-D17</f>
        <v>2220</v>
      </c>
      <c r="J17" s="19">
        <f t="shared" ref="J17:J22" si="7">(F17-E17)/E17</f>
        <v>0.21833333333333332</v>
      </c>
      <c r="K17" s="17">
        <f t="shared" ref="K17:K22" si="8">F17-E17</f>
        <v>655</v>
      </c>
    </row>
    <row r="18" spans="1:11" x14ac:dyDescent="0.25">
      <c r="A18" s="5" t="s">
        <v>8</v>
      </c>
      <c r="D18" s="4">
        <v>2000</v>
      </c>
      <c r="E18" s="4">
        <v>21500</v>
      </c>
      <c r="F18" s="4">
        <v>2500</v>
      </c>
      <c r="G18" s="7"/>
      <c r="H18" s="8">
        <f t="shared" si="5"/>
        <v>9.75</v>
      </c>
      <c r="I18" s="9">
        <f t="shared" si="6"/>
        <v>19500</v>
      </c>
      <c r="J18" s="8">
        <f t="shared" si="7"/>
        <v>-0.88372093023255816</v>
      </c>
      <c r="K18" s="4">
        <f t="shared" si="8"/>
        <v>-19000</v>
      </c>
    </row>
    <row r="19" spans="1:11" x14ac:dyDescent="0.25">
      <c r="A19" s="16" t="s">
        <v>9</v>
      </c>
      <c r="B19" s="16"/>
      <c r="C19" s="16"/>
      <c r="D19" s="17"/>
      <c r="E19" s="17"/>
      <c r="F19" s="17">
        <v>3000</v>
      </c>
      <c r="G19" s="18"/>
      <c r="H19" s="19" t="e">
        <f t="shared" si="5"/>
        <v>#DIV/0!</v>
      </c>
      <c r="I19" s="20">
        <f t="shared" si="6"/>
        <v>0</v>
      </c>
      <c r="J19" s="19" t="e">
        <f t="shared" si="7"/>
        <v>#DIV/0!</v>
      </c>
      <c r="K19" s="17">
        <f t="shared" si="8"/>
        <v>3000</v>
      </c>
    </row>
    <row r="20" spans="1:11" x14ac:dyDescent="0.25">
      <c r="A20" s="5" t="s">
        <v>10</v>
      </c>
      <c r="B20" s="5" t="s">
        <v>103</v>
      </c>
      <c r="D20" s="4">
        <v>8325</v>
      </c>
      <c r="E20" s="4">
        <v>26250</v>
      </c>
      <c r="F20" s="4">
        <v>21590</v>
      </c>
      <c r="G20" s="7"/>
      <c r="H20" s="8">
        <f t="shared" si="5"/>
        <v>2.1531531531531534</v>
      </c>
      <c r="I20" s="9">
        <f t="shared" si="6"/>
        <v>17925</v>
      </c>
      <c r="J20" s="8">
        <f t="shared" si="7"/>
        <v>-0.17752380952380953</v>
      </c>
      <c r="K20" s="4">
        <f t="shared" si="8"/>
        <v>-4660</v>
      </c>
    </row>
    <row r="21" spans="1:11" x14ac:dyDescent="0.25">
      <c r="A21" s="16" t="s">
        <v>11</v>
      </c>
      <c r="B21" s="16"/>
      <c r="C21" s="16"/>
      <c r="D21" s="17"/>
      <c r="E21" s="17"/>
      <c r="F21" s="17">
        <v>2500</v>
      </c>
      <c r="G21" s="18"/>
      <c r="H21" s="19" t="e">
        <f t="shared" si="5"/>
        <v>#DIV/0!</v>
      </c>
      <c r="I21" s="20">
        <f t="shared" si="6"/>
        <v>0</v>
      </c>
      <c r="J21" s="19" t="e">
        <f t="shared" si="7"/>
        <v>#DIV/0!</v>
      </c>
      <c r="K21" s="17">
        <f t="shared" si="8"/>
        <v>2500</v>
      </c>
    </row>
    <row r="22" spans="1:11" ht="30" x14ac:dyDescent="0.25">
      <c r="A22" s="5" t="s">
        <v>12</v>
      </c>
      <c r="B22" s="15" t="s">
        <v>104</v>
      </c>
      <c r="D22" s="7">
        <v>3730</v>
      </c>
      <c r="E22" s="7"/>
      <c r="F22" s="7">
        <v>1000</v>
      </c>
      <c r="G22" s="7"/>
      <c r="H22" s="8">
        <f t="shared" si="5"/>
        <v>-1</v>
      </c>
      <c r="I22" s="9">
        <f t="shared" si="6"/>
        <v>-3730</v>
      </c>
      <c r="J22" s="8" t="e">
        <f t="shared" si="7"/>
        <v>#DIV/0!</v>
      </c>
      <c r="K22" s="4">
        <f t="shared" si="8"/>
        <v>1000</v>
      </c>
    </row>
    <row r="23" spans="1:11" x14ac:dyDescent="0.25">
      <c r="D23" s="7"/>
      <c r="E23" s="7"/>
      <c r="F23" s="7"/>
      <c r="G23" s="7"/>
    </row>
    <row r="24" spans="1:11" ht="33" customHeight="1" x14ac:dyDescent="0.25">
      <c r="A24" s="38" t="s">
        <v>13</v>
      </c>
      <c r="B24" s="38"/>
      <c r="C24" s="22"/>
      <c r="D24" s="23">
        <f>SUM(D25:D26)</f>
        <v>175150</v>
      </c>
      <c r="E24" s="23">
        <f t="shared" ref="E24" si="9">SUM(E25:E26)</f>
        <v>254670</v>
      </c>
      <c r="F24" s="23">
        <f t="shared" ref="F24" si="10">SUM(F25:F26)</f>
        <v>394180</v>
      </c>
      <c r="G24" s="25"/>
      <c r="H24" s="24"/>
      <c r="I24" s="24"/>
      <c r="J24" s="24"/>
      <c r="K24" s="24"/>
    </row>
    <row r="25" spans="1:11" x14ac:dyDescent="0.25">
      <c r="A25" s="5" t="s">
        <v>14</v>
      </c>
      <c r="D25" s="7">
        <v>175150</v>
      </c>
      <c r="E25" s="7">
        <v>254670</v>
      </c>
      <c r="F25" s="7">
        <v>394180</v>
      </c>
      <c r="G25" s="7"/>
      <c r="H25" s="8">
        <f>(E25-D25)/D25</f>
        <v>0.45401084784470452</v>
      </c>
      <c r="I25" s="9">
        <f>E25-D25</f>
        <v>79520</v>
      </c>
      <c r="J25" s="8">
        <f>(F25-E25)/E25</f>
        <v>0.54780696587740996</v>
      </c>
      <c r="K25" s="4">
        <f>F25-E25</f>
        <v>139510</v>
      </c>
    </row>
    <row r="26" spans="1:11" x14ac:dyDescent="0.25">
      <c r="D26" s="7"/>
      <c r="E26" s="7"/>
      <c r="F26" s="7"/>
      <c r="G26" s="7"/>
    </row>
    <row r="27" spans="1:11" ht="33" customHeight="1" x14ac:dyDescent="0.25">
      <c r="A27" s="38" t="s">
        <v>15</v>
      </c>
      <c r="B27" s="38"/>
      <c r="C27" s="22"/>
      <c r="D27" s="23">
        <f>SUM(D28:D29)</f>
        <v>27803</v>
      </c>
      <c r="E27" s="23">
        <f t="shared" ref="E27" si="11">SUM(E28:E29)</f>
        <v>61594</v>
      </c>
      <c r="F27" s="23">
        <f t="shared" ref="F27" si="12">SUM(F28:F29)</f>
        <v>59162</v>
      </c>
      <c r="G27" s="25"/>
      <c r="H27" s="24"/>
      <c r="I27" s="24"/>
      <c r="J27" s="24"/>
      <c r="K27" s="24"/>
    </row>
    <row r="28" spans="1:11" x14ac:dyDescent="0.25">
      <c r="A28" s="5" t="s">
        <v>16</v>
      </c>
      <c r="D28" s="4">
        <v>27803</v>
      </c>
      <c r="E28" s="4">
        <v>26110</v>
      </c>
      <c r="F28" s="4">
        <v>48912</v>
      </c>
      <c r="G28" s="7"/>
      <c r="H28" s="8">
        <f>(E28-D28)/D28</f>
        <v>-6.0892709419846779E-2</v>
      </c>
      <c r="I28" s="9">
        <f>E28-D28</f>
        <v>-1693</v>
      </c>
      <c r="J28" s="8">
        <f>(F28-E28)/E28</f>
        <v>0.87330524703178858</v>
      </c>
      <c r="K28" s="4">
        <f>F28-E28</f>
        <v>22802</v>
      </c>
    </row>
    <row r="29" spans="1:11" s="15" customFormat="1" ht="33" customHeight="1" x14ac:dyDescent="0.25">
      <c r="A29" s="16" t="s">
        <v>17</v>
      </c>
      <c r="B29" s="21" t="s">
        <v>113</v>
      </c>
      <c r="C29" s="16"/>
      <c r="D29" s="17"/>
      <c r="E29" s="17">
        <v>35484</v>
      </c>
      <c r="F29" s="17">
        <v>10250</v>
      </c>
      <c r="G29" s="18"/>
      <c r="H29" s="19" t="e">
        <f>(E29-D29)/D29</f>
        <v>#DIV/0!</v>
      </c>
      <c r="I29" s="20">
        <f>E29-D29</f>
        <v>35484</v>
      </c>
      <c r="J29" s="19">
        <f>(F29-E29)/E29</f>
        <v>-0.71113741404576714</v>
      </c>
      <c r="K29" s="17">
        <f>F29-E29</f>
        <v>-25234</v>
      </c>
    </row>
    <row r="30" spans="1:11" s="15" customFormat="1" ht="33" customHeight="1" x14ac:dyDescent="0.25">
      <c r="A30" s="16"/>
      <c r="B30" s="21"/>
      <c r="C30" s="16"/>
      <c r="D30" s="17"/>
      <c r="E30" s="17"/>
      <c r="F30" s="17"/>
      <c r="G30" s="18"/>
      <c r="H30" s="19"/>
      <c r="I30" s="20"/>
      <c r="J30" s="19"/>
      <c r="K30" s="17"/>
    </row>
    <row r="31" spans="1:11" x14ac:dyDescent="0.25">
      <c r="D31" s="7"/>
      <c r="E31" s="7"/>
      <c r="F31" s="7"/>
      <c r="G31" s="7"/>
    </row>
    <row r="32" spans="1:11" ht="33" customHeight="1" x14ac:dyDescent="0.25">
      <c r="A32" s="38" t="s">
        <v>18</v>
      </c>
      <c r="B32" s="38"/>
      <c r="C32" s="22"/>
      <c r="D32" s="23">
        <f>SUM(D33:D38)</f>
        <v>156754</v>
      </c>
      <c r="E32" s="23">
        <f t="shared" ref="E32:F32" si="13">SUM(E33:E38)</f>
        <v>162910.29999999999</v>
      </c>
      <c r="F32" s="23">
        <f t="shared" si="13"/>
        <v>272846</v>
      </c>
      <c r="G32" s="25"/>
      <c r="H32" s="24"/>
      <c r="I32" s="24"/>
      <c r="J32" s="24"/>
      <c r="K32" s="24"/>
    </row>
    <row r="33" spans="1:11" x14ac:dyDescent="0.25">
      <c r="A33" s="5" t="s">
        <v>19</v>
      </c>
      <c r="D33" s="4">
        <v>55394</v>
      </c>
      <c r="E33" s="4">
        <v>86321</v>
      </c>
      <c r="F33" s="4">
        <v>61127</v>
      </c>
      <c r="G33" s="7"/>
      <c r="H33" s="8">
        <f>(E33-D33)/D33</f>
        <v>0.55830956421273059</v>
      </c>
      <c r="I33" s="9">
        <f>E33-D33</f>
        <v>30927</v>
      </c>
      <c r="J33" s="8">
        <f>(F33-E33)/E33</f>
        <v>-0.29186408869220698</v>
      </c>
      <c r="K33" s="4">
        <f>F33-E33</f>
        <v>-25194</v>
      </c>
    </row>
    <row r="34" spans="1:11" x14ac:dyDescent="0.25">
      <c r="A34" s="16" t="s">
        <v>20</v>
      </c>
      <c r="B34" s="21"/>
      <c r="C34" s="16"/>
      <c r="D34" s="17">
        <v>65640</v>
      </c>
      <c r="E34" s="17">
        <v>55310</v>
      </c>
      <c r="F34" s="17">
        <v>164772</v>
      </c>
      <c r="G34" s="18"/>
      <c r="H34" s="19">
        <f t="shared" ref="H34:H38" si="14">(E34-D34)/D34</f>
        <v>-0.15737355271176112</v>
      </c>
      <c r="I34" s="20">
        <f t="shared" ref="I34:I38" si="15">E34-D34</f>
        <v>-10330</v>
      </c>
      <c r="J34" s="19">
        <f t="shared" ref="J34:J38" si="16">(F34-E34)/E34</f>
        <v>1.9790634604953896</v>
      </c>
      <c r="K34" s="17">
        <f t="shared" ref="K34:K38" si="17">F34-E34</f>
        <v>109462</v>
      </c>
    </row>
    <row r="35" spans="1:11" x14ac:dyDescent="0.25">
      <c r="A35" s="5" t="s">
        <v>21</v>
      </c>
      <c r="D35" s="4">
        <v>33870</v>
      </c>
      <c r="E35" s="4">
        <v>10677</v>
      </c>
      <c r="F35" s="4">
        <v>9448</v>
      </c>
      <c r="G35" s="7"/>
      <c r="H35" s="8">
        <f t="shared" si="14"/>
        <v>-0.68476527900797168</v>
      </c>
      <c r="I35" s="9">
        <f t="shared" si="15"/>
        <v>-23193</v>
      </c>
      <c r="J35" s="8">
        <f t="shared" si="16"/>
        <v>-0.11510723986138428</v>
      </c>
      <c r="K35" s="4">
        <f t="shared" si="17"/>
        <v>-1229</v>
      </c>
    </row>
    <row r="36" spans="1:11" x14ac:dyDescent="0.25">
      <c r="A36" s="16" t="s">
        <v>22</v>
      </c>
      <c r="B36" s="21"/>
      <c r="C36" s="16"/>
      <c r="D36" s="17">
        <v>500</v>
      </c>
      <c r="E36" s="17">
        <v>2476</v>
      </c>
      <c r="F36" s="17">
        <v>3819</v>
      </c>
      <c r="G36" s="18"/>
      <c r="H36" s="19">
        <f t="shared" si="14"/>
        <v>3.952</v>
      </c>
      <c r="I36" s="20">
        <f t="shared" si="15"/>
        <v>1976</v>
      </c>
      <c r="J36" s="19">
        <f t="shared" si="16"/>
        <v>0.54240710823909533</v>
      </c>
      <c r="K36" s="17">
        <f t="shared" si="17"/>
        <v>1343</v>
      </c>
    </row>
    <row r="37" spans="1:11" x14ac:dyDescent="0.25">
      <c r="A37" s="5" t="s">
        <v>23</v>
      </c>
      <c r="D37" s="4">
        <v>1350</v>
      </c>
      <c r="E37" s="4">
        <v>4876.3</v>
      </c>
      <c r="F37" s="4">
        <v>28880</v>
      </c>
      <c r="G37" s="7"/>
      <c r="H37" s="8">
        <f t="shared" si="14"/>
        <v>2.6120740740740742</v>
      </c>
      <c r="I37" s="9">
        <f t="shared" si="15"/>
        <v>3526.3</v>
      </c>
      <c r="J37" s="8">
        <f t="shared" si="16"/>
        <v>4.9225232245760102</v>
      </c>
      <c r="K37" s="4">
        <f t="shared" si="17"/>
        <v>24003.7</v>
      </c>
    </row>
    <row r="38" spans="1:11" x14ac:dyDescent="0.25">
      <c r="A38" s="16" t="s">
        <v>24</v>
      </c>
      <c r="B38" s="21"/>
      <c r="C38" s="16"/>
      <c r="D38" s="17"/>
      <c r="E38" s="17">
        <v>3250</v>
      </c>
      <c r="F38" s="17">
        <v>4800</v>
      </c>
      <c r="G38" s="18"/>
      <c r="H38" s="19" t="e">
        <f t="shared" si="14"/>
        <v>#DIV/0!</v>
      </c>
      <c r="I38" s="20">
        <f t="shared" si="15"/>
        <v>3250</v>
      </c>
      <c r="J38" s="19">
        <f t="shared" si="16"/>
        <v>0.47692307692307695</v>
      </c>
      <c r="K38" s="17">
        <f t="shared" si="17"/>
        <v>1550</v>
      </c>
    </row>
    <row r="39" spans="1:11" x14ac:dyDescent="0.25">
      <c r="D39" s="7"/>
      <c r="E39" s="7"/>
      <c r="F39" s="7"/>
      <c r="G39" s="7"/>
    </row>
    <row r="40" spans="1:11" ht="33" customHeight="1" x14ac:dyDescent="0.25">
      <c r="A40" s="38" t="s">
        <v>25</v>
      </c>
      <c r="B40" s="38"/>
      <c r="C40" s="22"/>
      <c r="D40" s="23">
        <f>SUM(D41:D42)</f>
        <v>1350</v>
      </c>
      <c r="E40" s="23">
        <f t="shared" ref="E40" si="18">SUM(E41:E42)</f>
        <v>12250</v>
      </c>
      <c r="F40" s="23">
        <f t="shared" ref="F40" si="19">SUM(F41:F42)</f>
        <v>23498</v>
      </c>
      <c r="G40" s="25"/>
      <c r="H40" s="24"/>
      <c r="I40" s="24"/>
      <c r="J40" s="24"/>
      <c r="K40" s="24"/>
    </row>
    <row r="41" spans="1:11" x14ac:dyDescent="0.25">
      <c r="A41" s="5" t="s">
        <v>26</v>
      </c>
      <c r="B41" s="5" t="s">
        <v>114</v>
      </c>
      <c r="D41" s="4">
        <v>1350</v>
      </c>
      <c r="E41" s="4">
        <v>2250</v>
      </c>
      <c r="F41" s="4">
        <v>9498</v>
      </c>
      <c r="G41" s="7"/>
      <c r="H41" s="8">
        <f>(E41-D41)/D41</f>
        <v>0.66666666666666663</v>
      </c>
      <c r="I41" s="9">
        <f>E41-D41</f>
        <v>900</v>
      </c>
      <c r="J41" s="8">
        <f>(F41-E41)/E41</f>
        <v>3.2213333333333334</v>
      </c>
      <c r="K41" s="4">
        <f>F41-E41</f>
        <v>7248</v>
      </c>
    </row>
    <row r="42" spans="1:11" x14ac:dyDescent="0.25">
      <c r="A42" s="16" t="s">
        <v>110</v>
      </c>
      <c r="B42" s="21"/>
      <c r="C42" s="16"/>
      <c r="D42" s="17"/>
      <c r="E42" s="17">
        <v>10000</v>
      </c>
      <c r="F42" s="17">
        <v>14000</v>
      </c>
      <c r="G42" s="18"/>
      <c r="H42" s="19" t="e">
        <f>(E42-D42)/D42</f>
        <v>#DIV/0!</v>
      </c>
      <c r="I42" s="20">
        <f>E42-D42</f>
        <v>10000</v>
      </c>
      <c r="J42" s="19">
        <f>(F42-E42)/E42</f>
        <v>0.4</v>
      </c>
      <c r="K42" s="17">
        <f>F42-E42</f>
        <v>4000</v>
      </c>
    </row>
    <row r="43" spans="1:11" x14ac:dyDescent="0.25">
      <c r="D43" s="7"/>
      <c r="E43" s="7"/>
      <c r="F43" s="7"/>
      <c r="G43" s="7"/>
    </row>
    <row r="44" spans="1:11" ht="33" customHeight="1" x14ac:dyDescent="0.25">
      <c r="A44" s="38" t="s">
        <v>27</v>
      </c>
      <c r="B44" s="38"/>
      <c r="C44" s="22"/>
      <c r="D44" s="23">
        <f>SUM(D45:D46)</f>
        <v>227630</v>
      </c>
      <c r="E44" s="23">
        <f t="shared" ref="E44" si="20">SUM(E45:E46)</f>
        <v>446555</v>
      </c>
      <c r="F44" s="23">
        <f t="shared" ref="F44" si="21">SUM(F45:F46)</f>
        <v>478498</v>
      </c>
      <c r="G44" s="25"/>
      <c r="H44" s="24"/>
      <c r="I44" s="24"/>
      <c r="J44" s="24"/>
      <c r="K44" s="24"/>
    </row>
    <row r="45" spans="1:11" x14ac:dyDescent="0.25">
      <c r="A45" s="5" t="s">
        <v>27</v>
      </c>
      <c r="D45" s="7">
        <v>227630</v>
      </c>
      <c r="E45" s="7">
        <v>446555</v>
      </c>
      <c r="F45" s="7">
        <v>478498</v>
      </c>
      <c r="G45" s="7"/>
      <c r="H45" s="8">
        <f>(E45-D45)/D45</f>
        <v>0.96175811624126872</v>
      </c>
      <c r="I45" s="9">
        <f>E45-D45</f>
        <v>218925</v>
      </c>
      <c r="J45" s="8">
        <f>(F45-E45)/E45</f>
        <v>7.1532062120007608E-2</v>
      </c>
      <c r="K45" s="4">
        <f>F45-E45</f>
        <v>31943</v>
      </c>
    </row>
    <row r="46" spans="1:11" x14ac:dyDescent="0.25">
      <c r="D46" s="7"/>
      <c r="E46" s="7"/>
      <c r="F46" s="7"/>
      <c r="G46" s="7"/>
    </row>
    <row r="47" spans="1:11" ht="33" customHeight="1" x14ac:dyDescent="0.25">
      <c r="A47" s="38" t="s">
        <v>28</v>
      </c>
      <c r="B47" s="38"/>
      <c r="C47" s="22"/>
      <c r="D47" s="23">
        <f>SUM(D48:D49)</f>
        <v>81000</v>
      </c>
      <c r="E47" s="23">
        <f t="shared" ref="E47" si="22">SUM(E48:E49)</f>
        <v>43650</v>
      </c>
      <c r="F47" s="23">
        <f t="shared" ref="F47" si="23">SUM(F48:F49)</f>
        <v>113591</v>
      </c>
      <c r="G47" s="25"/>
      <c r="H47" s="24"/>
      <c r="I47" s="24"/>
      <c r="J47" s="24"/>
      <c r="K47" s="24"/>
    </row>
    <row r="48" spans="1:11" s="15" customFormat="1" ht="47.25" customHeight="1" x14ac:dyDescent="0.25">
      <c r="A48" s="15" t="s">
        <v>29</v>
      </c>
      <c r="B48" s="15" t="s">
        <v>105</v>
      </c>
      <c r="D48" s="11">
        <v>81000</v>
      </c>
      <c r="E48" s="11">
        <v>43650</v>
      </c>
      <c r="F48" s="11">
        <v>113591</v>
      </c>
      <c r="G48" s="11"/>
      <c r="H48" s="12">
        <f>(E48-D48)/D48</f>
        <v>-0.46111111111111114</v>
      </c>
      <c r="I48" s="13">
        <f>E48-D48</f>
        <v>-37350</v>
      </c>
      <c r="J48" s="12">
        <f>(F48-E48)/E48</f>
        <v>1.6023138602520046</v>
      </c>
      <c r="K48" s="14">
        <f>F48-E48</f>
        <v>69941</v>
      </c>
    </row>
    <row r="49" spans="1:11" x14ac:dyDescent="0.25">
      <c r="D49" s="7"/>
      <c r="E49" s="7"/>
      <c r="F49" s="7"/>
      <c r="G49" s="7"/>
    </row>
    <row r="50" spans="1:11" ht="33" customHeight="1" x14ac:dyDescent="0.25">
      <c r="A50" s="38" t="s">
        <v>30</v>
      </c>
      <c r="B50" s="38"/>
      <c r="C50" s="22"/>
      <c r="D50" s="23">
        <f>SUM(D51:D56)</f>
        <v>801500</v>
      </c>
      <c r="E50" s="23">
        <f>SUM(E51:E56)</f>
        <v>1671550</v>
      </c>
      <c r="F50" s="23">
        <f>SUM(F51:F56)</f>
        <v>3200500</v>
      </c>
      <c r="G50" s="25"/>
      <c r="H50" s="24"/>
      <c r="I50" s="24"/>
      <c r="J50" s="24"/>
      <c r="K50" s="24"/>
    </row>
    <row r="51" spans="1:11" x14ac:dyDescent="0.25">
      <c r="A51" s="5" t="s">
        <v>31</v>
      </c>
      <c r="D51" s="4">
        <v>796500</v>
      </c>
      <c r="E51" s="4">
        <v>1654000</v>
      </c>
      <c r="F51" s="4">
        <v>2343500</v>
      </c>
      <c r="G51" s="7"/>
      <c r="H51" s="8">
        <f>(E51-D51)/D51</f>
        <v>1.076585059635907</v>
      </c>
      <c r="I51" s="9">
        <f>E51-D51</f>
        <v>857500</v>
      </c>
      <c r="J51" s="8">
        <f>(F51-E51)/E51</f>
        <v>0.41686819830713423</v>
      </c>
      <c r="K51" s="4">
        <f>F51-E51</f>
        <v>689500</v>
      </c>
    </row>
    <row r="52" spans="1:11" x14ac:dyDescent="0.25">
      <c r="A52" s="16" t="s">
        <v>32</v>
      </c>
      <c r="B52" s="21"/>
      <c r="C52" s="16"/>
      <c r="D52" s="17"/>
      <c r="E52" s="17">
        <v>8150</v>
      </c>
      <c r="F52" s="17"/>
      <c r="G52" s="18"/>
      <c r="H52" s="19" t="e">
        <f t="shared" ref="H52:H56" si="24">(E52-D52)/D52</f>
        <v>#DIV/0!</v>
      </c>
      <c r="I52" s="20">
        <f t="shared" ref="I52:I56" si="25">E52-D52</f>
        <v>8150</v>
      </c>
      <c r="J52" s="19">
        <f t="shared" ref="J52:J56" si="26">(F52-E52)/E52</f>
        <v>-1</v>
      </c>
      <c r="K52" s="17">
        <f t="shared" ref="K52:K56" si="27">F52-E52</f>
        <v>-8150</v>
      </c>
    </row>
    <row r="53" spans="1:11" x14ac:dyDescent="0.25">
      <c r="A53" s="5" t="s">
        <v>33</v>
      </c>
      <c r="D53" s="4"/>
      <c r="E53" s="4"/>
      <c r="F53" s="4">
        <v>516000</v>
      </c>
      <c r="G53" s="7"/>
      <c r="H53" s="8" t="e">
        <f t="shared" si="24"/>
        <v>#DIV/0!</v>
      </c>
      <c r="I53" s="9">
        <f t="shared" si="25"/>
        <v>0</v>
      </c>
      <c r="J53" s="8" t="e">
        <f t="shared" si="26"/>
        <v>#DIV/0!</v>
      </c>
      <c r="K53" s="4">
        <f t="shared" si="27"/>
        <v>516000</v>
      </c>
    </row>
    <row r="54" spans="1:11" x14ac:dyDescent="0.25">
      <c r="A54" s="16" t="s">
        <v>34</v>
      </c>
      <c r="B54" s="21"/>
      <c r="C54" s="16"/>
      <c r="D54" s="17"/>
      <c r="E54" s="17">
        <v>9400</v>
      </c>
      <c r="F54" s="17">
        <v>52200</v>
      </c>
      <c r="G54" s="18"/>
      <c r="H54" s="19" t="e">
        <f t="shared" si="24"/>
        <v>#DIV/0!</v>
      </c>
      <c r="I54" s="20">
        <f t="shared" si="25"/>
        <v>9400</v>
      </c>
      <c r="J54" s="19">
        <f t="shared" si="26"/>
        <v>4.5531914893617023</v>
      </c>
      <c r="K54" s="17">
        <f t="shared" si="27"/>
        <v>42800</v>
      </c>
    </row>
    <row r="55" spans="1:11" x14ac:dyDescent="0.25">
      <c r="A55" s="5" t="s">
        <v>35</v>
      </c>
      <c r="D55" s="4"/>
      <c r="E55" s="4"/>
      <c r="F55" s="4">
        <v>30800</v>
      </c>
      <c r="G55" s="7"/>
      <c r="H55" s="8" t="e">
        <f t="shared" si="24"/>
        <v>#DIV/0!</v>
      </c>
      <c r="I55" s="9">
        <f t="shared" si="25"/>
        <v>0</v>
      </c>
      <c r="J55" s="8" t="e">
        <f t="shared" si="26"/>
        <v>#DIV/0!</v>
      </c>
      <c r="K55" s="4">
        <f t="shared" si="27"/>
        <v>30800</v>
      </c>
    </row>
    <row r="56" spans="1:11" x14ac:dyDescent="0.25">
      <c r="A56" s="16" t="s">
        <v>36</v>
      </c>
      <c r="B56" s="21"/>
      <c r="C56" s="16"/>
      <c r="D56" s="17">
        <v>5000</v>
      </c>
      <c r="E56" s="17"/>
      <c r="F56" s="17">
        <v>258000</v>
      </c>
      <c r="G56" s="18"/>
      <c r="H56" s="19">
        <f t="shared" si="24"/>
        <v>-1</v>
      </c>
      <c r="I56" s="20">
        <f t="shared" si="25"/>
        <v>-5000</v>
      </c>
      <c r="J56" s="19" t="e">
        <f t="shared" si="26"/>
        <v>#DIV/0!</v>
      </c>
      <c r="K56" s="17">
        <f t="shared" si="27"/>
        <v>258000</v>
      </c>
    </row>
    <row r="57" spans="1:11" x14ac:dyDescent="0.25">
      <c r="D57" s="7"/>
      <c r="E57" s="7"/>
      <c r="F57" s="7"/>
      <c r="G57" s="7"/>
    </row>
    <row r="58" spans="1:11" ht="33" customHeight="1" x14ac:dyDescent="0.25">
      <c r="A58" s="38" t="s">
        <v>37</v>
      </c>
      <c r="B58" s="38"/>
      <c r="C58" s="22"/>
      <c r="D58" s="23">
        <f>SUM(D59:D61)</f>
        <v>452900</v>
      </c>
      <c r="E58" s="23">
        <f>SUM(E59:E61)</f>
        <v>781000</v>
      </c>
      <c r="F58" s="23">
        <f>SUM(F59:F61)</f>
        <v>1004000</v>
      </c>
      <c r="G58" s="25"/>
      <c r="H58" s="24"/>
      <c r="I58" s="24"/>
      <c r="J58" s="24"/>
      <c r="K58" s="24"/>
    </row>
    <row r="59" spans="1:11" x14ac:dyDescent="0.25">
      <c r="A59" s="5" t="s">
        <v>38</v>
      </c>
      <c r="D59" s="4">
        <v>406500</v>
      </c>
      <c r="E59" s="4">
        <v>781000</v>
      </c>
      <c r="F59" s="4">
        <v>1004000</v>
      </c>
      <c r="G59" s="7"/>
      <c r="H59" s="8">
        <f t="shared" ref="H59" si="28">(E59-D59)/D59</f>
        <v>0.92127921279212788</v>
      </c>
      <c r="I59" s="9">
        <f t="shared" ref="I59" si="29">E59-D59</f>
        <v>374500</v>
      </c>
      <c r="J59" s="8">
        <f t="shared" ref="J59" si="30">(F59-E59)/E59</f>
        <v>0.28553137003841228</v>
      </c>
      <c r="K59" s="4">
        <f t="shared" ref="K59" si="31">F59-E59</f>
        <v>223000</v>
      </c>
    </row>
    <row r="60" spans="1:11" x14ac:dyDescent="0.25">
      <c r="A60" s="16" t="s">
        <v>39</v>
      </c>
      <c r="B60" s="21"/>
      <c r="C60" s="16"/>
      <c r="D60" s="17">
        <v>20500</v>
      </c>
      <c r="E60" s="17"/>
      <c r="F60" s="17"/>
      <c r="G60" s="18"/>
      <c r="H60" s="19">
        <f t="shared" ref="H60:H61" si="32">(E60-D60)/D60</f>
        <v>-1</v>
      </c>
      <c r="I60" s="20">
        <f t="shared" ref="I60:I61" si="33">E60-D60</f>
        <v>-20500</v>
      </c>
      <c r="J60" s="19" t="e">
        <f t="shared" ref="J60:J61" si="34">(F60-E60)/E60</f>
        <v>#DIV/0!</v>
      </c>
      <c r="K60" s="17">
        <f t="shared" ref="K60:K61" si="35">F60-E60</f>
        <v>0</v>
      </c>
    </row>
    <row r="61" spans="1:11" x14ac:dyDescent="0.25">
      <c r="A61" s="5" t="s">
        <v>40</v>
      </c>
      <c r="D61" s="4">
        <v>25900</v>
      </c>
      <c r="E61" s="4"/>
      <c r="F61" s="4"/>
      <c r="G61" s="7"/>
      <c r="H61" s="8">
        <f t="shared" si="32"/>
        <v>-1</v>
      </c>
      <c r="I61" s="9">
        <f t="shared" si="33"/>
        <v>-25900</v>
      </c>
      <c r="J61" s="8" t="e">
        <f t="shared" si="34"/>
        <v>#DIV/0!</v>
      </c>
      <c r="K61" s="4">
        <f t="shared" si="35"/>
        <v>0</v>
      </c>
    </row>
    <row r="62" spans="1:11" x14ac:dyDescent="0.25">
      <c r="D62" s="7"/>
      <c r="E62" s="7"/>
      <c r="F62" s="7"/>
      <c r="G62" s="7"/>
    </row>
    <row r="63" spans="1:11" ht="33" customHeight="1" x14ac:dyDescent="0.25">
      <c r="A63" s="38" t="s">
        <v>41</v>
      </c>
      <c r="B63" s="38"/>
      <c r="C63" s="22"/>
      <c r="D63" s="23">
        <f>SUM(D64:D65)</f>
        <v>242660</v>
      </c>
      <c r="E63" s="23">
        <f t="shared" ref="E63" si="36">SUM(E64:E65)</f>
        <v>440815</v>
      </c>
      <c r="F63" s="23">
        <f t="shared" ref="F63" si="37">SUM(F64:F65)</f>
        <v>788933</v>
      </c>
      <c r="G63" s="25"/>
      <c r="H63" s="24"/>
      <c r="I63" s="24"/>
      <c r="J63" s="24"/>
      <c r="K63" s="24"/>
    </row>
    <row r="64" spans="1:11" x14ac:dyDescent="0.25">
      <c r="A64" s="5" t="s">
        <v>42</v>
      </c>
      <c r="D64" s="7">
        <v>242660</v>
      </c>
      <c r="E64" s="7">
        <v>440815</v>
      </c>
      <c r="F64" s="7">
        <v>788933</v>
      </c>
      <c r="G64" s="7"/>
      <c r="H64" s="8">
        <f t="shared" ref="H64" si="38">(E64-D64)/D64</f>
        <v>0.81659523613286078</v>
      </c>
      <c r="I64" s="9">
        <f t="shared" ref="I64" si="39">E64-D64</f>
        <v>198155</v>
      </c>
      <c r="J64" s="8">
        <f t="shared" ref="J64" si="40">(F64-E64)/E64</f>
        <v>0.78971450608531923</v>
      </c>
      <c r="K64" s="4">
        <f t="shared" ref="K64" si="41">F64-E64</f>
        <v>348118</v>
      </c>
    </row>
    <row r="65" spans="1:11" ht="10.5" customHeight="1" x14ac:dyDescent="0.25">
      <c r="D65" s="7"/>
      <c r="E65" s="7"/>
      <c r="F65" s="7"/>
      <c r="G65" s="7"/>
    </row>
    <row r="66" spans="1:11" ht="33" customHeight="1" x14ac:dyDescent="0.25">
      <c r="A66" s="38" t="s">
        <v>50</v>
      </c>
      <c r="B66" s="38"/>
      <c r="C66" s="22"/>
      <c r="D66" s="23">
        <f>SUM(D67:D70)</f>
        <v>52750</v>
      </c>
      <c r="E66" s="23">
        <f t="shared" ref="E66" si="42">SUM(E67:E70)</f>
        <v>10895</v>
      </c>
      <c r="F66" s="23">
        <f t="shared" ref="F66" si="43">SUM(F67:F70)</f>
        <v>14301</v>
      </c>
      <c r="G66" s="25"/>
      <c r="H66" s="24"/>
      <c r="I66" s="24"/>
      <c r="J66" s="24"/>
      <c r="K66" s="24"/>
    </row>
    <row r="67" spans="1:11" ht="16.5" customHeight="1" x14ac:dyDescent="0.25">
      <c r="A67" s="5" t="s">
        <v>51</v>
      </c>
      <c r="B67" s="35" t="s">
        <v>106</v>
      </c>
      <c r="D67" s="4">
        <v>44700</v>
      </c>
      <c r="E67" s="4">
        <v>5245</v>
      </c>
      <c r="F67" s="4">
        <v>1000</v>
      </c>
      <c r="G67" s="7"/>
      <c r="H67" s="8">
        <f t="shared" ref="H67" si="44">(E67-D67)/D67</f>
        <v>-0.882662192393736</v>
      </c>
      <c r="I67" s="9">
        <f t="shared" ref="I67" si="45">E67-D67</f>
        <v>-39455</v>
      </c>
      <c r="J67" s="8">
        <f t="shared" ref="J67" si="46">(F67-E67)/E67</f>
        <v>-0.80934223069590083</v>
      </c>
      <c r="K67" s="4">
        <f t="shared" ref="K67" si="47">F67-E67</f>
        <v>-4245</v>
      </c>
    </row>
    <row r="68" spans="1:11" ht="16.5" customHeight="1" x14ac:dyDescent="0.25">
      <c r="A68" s="16" t="s">
        <v>52</v>
      </c>
      <c r="B68" s="16" t="s">
        <v>111</v>
      </c>
      <c r="C68" s="16"/>
      <c r="D68" s="17">
        <v>5250</v>
      </c>
      <c r="E68" s="17">
        <v>5650</v>
      </c>
      <c r="F68" s="17">
        <v>751</v>
      </c>
      <c r="G68" s="18"/>
      <c r="H68" s="19">
        <f t="shared" ref="H68:H70" si="48">(E68-D68)/D68</f>
        <v>7.6190476190476197E-2</v>
      </c>
      <c r="I68" s="20">
        <f t="shared" ref="I68:I70" si="49">E68-D68</f>
        <v>400</v>
      </c>
      <c r="J68" s="19">
        <f t="shared" ref="J68:J70" si="50">(F68-E68)/E68</f>
        <v>-0.86707964601769916</v>
      </c>
      <c r="K68" s="17">
        <f t="shared" ref="K68:K70" si="51">F68-E68</f>
        <v>-4899</v>
      </c>
    </row>
    <row r="69" spans="1:11" x14ac:dyDescent="0.25">
      <c r="A69" s="5" t="s">
        <v>53</v>
      </c>
      <c r="D69" s="4">
        <v>2700</v>
      </c>
      <c r="E69" s="4"/>
      <c r="F69" s="4">
        <v>12500</v>
      </c>
      <c r="G69" s="7"/>
      <c r="H69" s="8">
        <f t="shared" si="48"/>
        <v>-1</v>
      </c>
      <c r="I69" s="9">
        <f t="shared" si="49"/>
        <v>-2700</v>
      </c>
      <c r="J69" s="8" t="e">
        <f t="shared" si="50"/>
        <v>#DIV/0!</v>
      </c>
      <c r="K69" s="4">
        <f t="shared" si="51"/>
        <v>12500</v>
      </c>
    </row>
    <row r="70" spans="1:11" x14ac:dyDescent="0.25">
      <c r="A70" s="16" t="s">
        <v>54</v>
      </c>
      <c r="B70" s="21"/>
      <c r="C70" s="16"/>
      <c r="D70" s="17">
        <v>100</v>
      </c>
      <c r="E70" s="17"/>
      <c r="F70" s="17">
        <v>50</v>
      </c>
      <c r="G70" s="18"/>
      <c r="H70" s="19">
        <f t="shared" si="48"/>
        <v>-1</v>
      </c>
      <c r="I70" s="20">
        <f t="shared" si="49"/>
        <v>-100</v>
      </c>
      <c r="J70" s="19" t="e">
        <f t="shared" si="50"/>
        <v>#DIV/0!</v>
      </c>
      <c r="K70" s="17">
        <f t="shared" si="51"/>
        <v>50</v>
      </c>
    </row>
    <row r="71" spans="1:11" ht="10.5" customHeight="1" x14ac:dyDescent="0.25">
      <c r="D71" s="7"/>
      <c r="E71" s="7"/>
      <c r="F71" s="7"/>
      <c r="G71" s="7"/>
    </row>
    <row r="72" spans="1:11" ht="33" customHeight="1" x14ac:dyDescent="0.25">
      <c r="A72" s="38" t="s">
        <v>55</v>
      </c>
      <c r="B72" s="38"/>
      <c r="C72" s="22"/>
      <c r="D72" s="23">
        <f>SUM(D73:D75)</f>
        <v>94647</v>
      </c>
      <c r="E72" s="23">
        <f t="shared" ref="E72:F72" si="52">SUM(E73:E75)</f>
        <v>101629</v>
      </c>
      <c r="F72" s="23">
        <f t="shared" si="52"/>
        <v>135265</v>
      </c>
      <c r="G72" s="25"/>
      <c r="H72" s="24"/>
      <c r="I72" s="24"/>
      <c r="J72" s="24"/>
      <c r="K72" s="24"/>
    </row>
    <row r="73" spans="1:11" x14ac:dyDescent="0.25">
      <c r="A73" s="5" t="s">
        <v>56</v>
      </c>
      <c r="B73" s="15"/>
      <c r="D73" s="4">
        <v>63672</v>
      </c>
      <c r="E73" s="4">
        <v>70132</v>
      </c>
      <c r="F73" s="4">
        <v>83825</v>
      </c>
      <c r="G73" s="7"/>
      <c r="H73" s="8">
        <f t="shared" ref="H73" si="53">(E73-D73)/D73</f>
        <v>0.10145746953134815</v>
      </c>
      <c r="I73" s="9">
        <f t="shared" ref="I73" si="54">E73-D73</f>
        <v>6460</v>
      </c>
      <c r="J73" s="8">
        <f t="shared" ref="J73" si="55">(F73-E73)/E73</f>
        <v>0.19524610734044373</v>
      </c>
      <c r="K73" s="4">
        <f t="shared" ref="K73" si="56">F73-E73</f>
        <v>13693</v>
      </c>
    </row>
    <row r="74" spans="1:11" x14ac:dyDescent="0.25">
      <c r="A74" s="16" t="s">
        <v>57</v>
      </c>
      <c r="B74" s="21"/>
      <c r="C74" s="16"/>
      <c r="D74" s="17">
        <v>23940</v>
      </c>
      <c r="E74" s="17">
        <v>24024</v>
      </c>
      <c r="F74" s="17">
        <v>29474</v>
      </c>
      <c r="G74" s="18"/>
      <c r="H74" s="19">
        <f t="shared" ref="H74:H75" si="57">(E74-D74)/D74</f>
        <v>3.5087719298245615E-3</v>
      </c>
      <c r="I74" s="20">
        <f t="shared" ref="I74:I75" si="58">E74-D74</f>
        <v>84</v>
      </c>
      <c r="J74" s="19">
        <f t="shared" ref="J74:J75" si="59">(F74-E74)/E74</f>
        <v>0.22685647685647686</v>
      </c>
      <c r="K74" s="17">
        <f t="shared" ref="K74:K75" si="60">F74-E74</f>
        <v>5450</v>
      </c>
    </row>
    <row r="75" spans="1:11" x14ac:dyDescent="0.25">
      <c r="A75" s="5" t="s">
        <v>58</v>
      </c>
      <c r="D75" s="4">
        <v>7035</v>
      </c>
      <c r="E75" s="4">
        <v>7473</v>
      </c>
      <c r="F75" s="4">
        <v>21966</v>
      </c>
      <c r="G75" s="7"/>
      <c r="H75" s="8">
        <f t="shared" si="57"/>
        <v>6.2260127931769722E-2</v>
      </c>
      <c r="I75" s="9">
        <f t="shared" si="58"/>
        <v>438</v>
      </c>
      <c r="J75" s="8">
        <f t="shared" si="59"/>
        <v>1.9393817743877961</v>
      </c>
      <c r="K75" s="4">
        <f t="shared" si="60"/>
        <v>14493</v>
      </c>
    </row>
    <row r="76" spans="1:11" ht="11.25" customHeight="1" x14ac:dyDescent="0.25">
      <c r="D76" s="7"/>
      <c r="E76" s="7"/>
      <c r="F76" s="7"/>
      <c r="G76" s="7"/>
    </row>
    <row r="77" spans="1:11" ht="33" customHeight="1" x14ac:dyDescent="0.25">
      <c r="A77" s="38" t="s">
        <v>59</v>
      </c>
      <c r="B77" s="38"/>
      <c r="C77" s="22"/>
      <c r="D77" s="23">
        <f>SUM(D78:D83)</f>
        <v>250900</v>
      </c>
      <c r="E77" s="23">
        <f t="shared" ref="E77:F77" si="61">SUM(E78:E83)</f>
        <v>430250</v>
      </c>
      <c r="F77" s="23">
        <f t="shared" si="61"/>
        <v>660000</v>
      </c>
      <c r="G77" s="25"/>
      <c r="H77" s="24"/>
      <c r="I77" s="24"/>
      <c r="J77" s="24"/>
      <c r="K77" s="24"/>
    </row>
    <row r="78" spans="1:11" x14ac:dyDescent="0.25">
      <c r="A78" s="5" t="s">
        <v>60</v>
      </c>
      <c r="B78" s="15"/>
      <c r="D78" s="4">
        <v>13500</v>
      </c>
      <c r="E78" s="4">
        <v>8400</v>
      </c>
      <c r="F78" s="4">
        <v>23000</v>
      </c>
      <c r="G78" s="7"/>
      <c r="H78" s="8">
        <f t="shared" ref="H78:H80" si="62">(E78-D78)/D78</f>
        <v>-0.37777777777777777</v>
      </c>
      <c r="I78" s="9">
        <f t="shared" ref="I78:I80" si="63">E78-D78</f>
        <v>-5100</v>
      </c>
      <c r="J78" s="8">
        <f t="shared" ref="J78:J80" si="64">(F78-E78)/E78</f>
        <v>1.7380952380952381</v>
      </c>
      <c r="K78" s="4">
        <f t="shared" ref="K78:K80" si="65">F78-E78</f>
        <v>14600</v>
      </c>
    </row>
    <row r="79" spans="1:11" x14ac:dyDescent="0.25">
      <c r="A79" s="16" t="s">
        <v>61</v>
      </c>
      <c r="B79" s="21"/>
      <c r="C79" s="16"/>
      <c r="D79" s="17">
        <v>56000</v>
      </c>
      <c r="E79" s="17">
        <v>84000</v>
      </c>
      <c r="F79" s="17">
        <v>98000</v>
      </c>
      <c r="G79" s="18"/>
      <c r="H79" s="19">
        <f t="shared" si="62"/>
        <v>0.5</v>
      </c>
      <c r="I79" s="20">
        <f t="shared" si="63"/>
        <v>28000</v>
      </c>
      <c r="J79" s="19">
        <f t="shared" si="64"/>
        <v>0.16666666666666666</v>
      </c>
      <c r="K79" s="17">
        <f t="shared" si="65"/>
        <v>14000</v>
      </c>
    </row>
    <row r="80" spans="1:11" x14ac:dyDescent="0.25">
      <c r="A80" s="5" t="s">
        <v>62</v>
      </c>
      <c r="D80" s="4">
        <v>108800</v>
      </c>
      <c r="E80" s="4">
        <v>242600</v>
      </c>
      <c r="F80" s="4">
        <v>369400</v>
      </c>
      <c r="G80" s="7"/>
      <c r="H80" s="8">
        <f t="shared" si="62"/>
        <v>1.2297794117647058</v>
      </c>
      <c r="I80" s="9">
        <f t="shared" si="63"/>
        <v>133800</v>
      </c>
      <c r="J80" s="8">
        <f t="shared" si="64"/>
        <v>0.52267106347897774</v>
      </c>
      <c r="K80" s="4">
        <f t="shared" si="65"/>
        <v>126800</v>
      </c>
    </row>
    <row r="81" spans="1:17" x14ac:dyDescent="0.25">
      <c r="A81" s="5" t="s">
        <v>63</v>
      </c>
      <c r="B81" s="15"/>
      <c r="D81" s="4">
        <v>18000</v>
      </c>
      <c r="E81" s="4">
        <v>40750</v>
      </c>
      <c r="F81" s="4">
        <v>69300</v>
      </c>
      <c r="G81" s="7"/>
      <c r="H81" s="8">
        <f t="shared" ref="H81:H83" si="66">(E81-D81)/D81</f>
        <v>1.2638888888888888</v>
      </c>
      <c r="I81" s="9">
        <f t="shared" ref="I81:I83" si="67">E81-D81</f>
        <v>22750</v>
      </c>
      <c r="J81" s="8">
        <f t="shared" ref="J81:J83" si="68">(F81-E81)/E81</f>
        <v>0.70061349693251529</v>
      </c>
      <c r="K81" s="4">
        <f t="shared" ref="K81:K83" si="69">F81-E81</f>
        <v>28550</v>
      </c>
    </row>
    <row r="82" spans="1:17" x14ac:dyDescent="0.25">
      <c r="A82" s="16" t="s">
        <v>64</v>
      </c>
      <c r="B82" s="21"/>
      <c r="C82" s="16"/>
      <c r="D82" s="17">
        <v>24000</v>
      </c>
      <c r="E82" s="17">
        <v>13500</v>
      </c>
      <c r="F82" s="17"/>
      <c r="G82" s="18"/>
      <c r="H82" s="19">
        <f t="shared" si="66"/>
        <v>-0.4375</v>
      </c>
      <c r="I82" s="20">
        <f t="shared" si="67"/>
        <v>-10500</v>
      </c>
      <c r="J82" s="19">
        <f t="shared" si="68"/>
        <v>-1</v>
      </c>
      <c r="K82" s="17">
        <f t="shared" si="69"/>
        <v>-13500</v>
      </c>
    </row>
    <row r="83" spans="1:17" x14ac:dyDescent="0.25">
      <c r="A83" s="5" t="s">
        <v>65</v>
      </c>
      <c r="D83" s="4">
        <v>30600</v>
      </c>
      <c r="E83" s="4">
        <v>41000</v>
      </c>
      <c r="F83" s="4">
        <v>100300</v>
      </c>
      <c r="G83" s="7"/>
      <c r="H83" s="8">
        <f t="shared" si="66"/>
        <v>0.33986928104575165</v>
      </c>
      <c r="I83" s="9">
        <f t="shared" si="67"/>
        <v>10400</v>
      </c>
      <c r="J83" s="8">
        <f t="shared" si="68"/>
        <v>1.4463414634146341</v>
      </c>
      <c r="K83" s="4">
        <f t="shared" si="69"/>
        <v>59300</v>
      </c>
    </row>
    <row r="84" spans="1:17" ht="11.25" customHeight="1" x14ac:dyDescent="0.25">
      <c r="D84" s="7"/>
      <c r="E84" s="7"/>
      <c r="F84" s="7"/>
      <c r="G84" s="7"/>
    </row>
    <row r="85" spans="1:17" ht="33" customHeight="1" x14ac:dyDescent="0.25">
      <c r="A85" s="38" t="s">
        <v>66</v>
      </c>
      <c r="B85" s="38"/>
      <c r="C85" s="22"/>
      <c r="D85" s="23">
        <f>SUM(D86:D88)</f>
        <v>94780</v>
      </c>
      <c r="E85" s="23">
        <f>SUM(E86:E88)</f>
        <v>174427</v>
      </c>
      <c r="F85" s="23">
        <f>SUM(F86:F88)</f>
        <v>472614</v>
      </c>
      <c r="G85" s="25"/>
      <c r="H85" s="24"/>
      <c r="I85" s="24"/>
      <c r="J85" s="24"/>
      <c r="K85" s="24"/>
    </row>
    <row r="86" spans="1:17" x14ac:dyDescent="0.25">
      <c r="A86" s="5" t="s">
        <v>67</v>
      </c>
      <c r="B86" s="15"/>
      <c r="D86" s="4">
        <v>4930</v>
      </c>
      <c r="E86" s="4">
        <v>1905</v>
      </c>
      <c r="F86" s="4">
        <v>1526</v>
      </c>
      <c r="G86" s="7"/>
      <c r="H86" s="8">
        <f t="shared" ref="H86" si="70">(E86-D86)/D86</f>
        <v>-0.61359026369168357</v>
      </c>
      <c r="I86" s="9">
        <f t="shared" ref="I86" si="71">E86-D86</f>
        <v>-3025</v>
      </c>
      <c r="J86" s="8">
        <f t="shared" ref="J86" si="72">(F86-E86)/E86</f>
        <v>-0.19895013123359581</v>
      </c>
      <c r="K86" s="4">
        <f t="shared" ref="K86" si="73">F86-E86</f>
        <v>-379</v>
      </c>
    </row>
    <row r="87" spans="1:17" x14ac:dyDescent="0.25">
      <c r="A87" s="16" t="s">
        <v>66</v>
      </c>
      <c r="B87" s="21"/>
      <c r="C87" s="16"/>
      <c r="D87" s="17">
        <v>84850</v>
      </c>
      <c r="E87" s="17">
        <v>140272</v>
      </c>
      <c r="F87" s="17">
        <v>419488</v>
      </c>
      <c r="G87" s="18"/>
      <c r="H87" s="19">
        <f t="shared" ref="H87:H88" si="74">(E87-D87)/D87</f>
        <v>0.65317619328226284</v>
      </c>
      <c r="I87" s="20">
        <f t="shared" ref="I87:I88" si="75">E87-D87</f>
        <v>55422</v>
      </c>
      <c r="J87" s="19">
        <f t="shared" ref="J87:J88" si="76">(F87-E87)/E87</f>
        <v>1.9905326793658036</v>
      </c>
      <c r="K87" s="17">
        <f t="shared" ref="K87:K88" si="77">F87-E87</f>
        <v>279216</v>
      </c>
    </row>
    <row r="88" spans="1:17" x14ac:dyDescent="0.25">
      <c r="A88" s="5" t="s">
        <v>68</v>
      </c>
      <c r="D88" s="4">
        <v>5000</v>
      </c>
      <c r="E88" s="4">
        <v>32250</v>
      </c>
      <c r="F88" s="4">
        <v>51600</v>
      </c>
      <c r="G88" s="7"/>
      <c r="H88" s="8">
        <f t="shared" si="74"/>
        <v>5.45</v>
      </c>
      <c r="I88" s="9">
        <f t="shared" si="75"/>
        <v>27250</v>
      </c>
      <c r="J88" s="8">
        <f t="shared" si="76"/>
        <v>0.6</v>
      </c>
      <c r="K88" s="4">
        <f t="shared" si="77"/>
        <v>19350</v>
      </c>
      <c r="N88"/>
      <c r="O88"/>
      <c r="P88"/>
      <c r="Q88"/>
    </row>
    <row r="89" spans="1:17" x14ac:dyDescent="0.25">
      <c r="A89" s="29"/>
      <c r="B89" s="30" t="s">
        <v>122</v>
      </c>
      <c r="C89" s="29"/>
      <c r="D89" s="31">
        <v>24250</v>
      </c>
      <c r="E89" s="31">
        <v>69250</v>
      </c>
      <c r="F89" s="31">
        <v>232000</v>
      </c>
      <c r="G89" s="32"/>
      <c r="H89" s="33">
        <f t="shared" ref="H89:H90" si="78">(E89-D89)/D89</f>
        <v>1.8556701030927836</v>
      </c>
      <c r="I89" s="34">
        <f t="shared" ref="I89:I90" si="79">E89-D89</f>
        <v>45000</v>
      </c>
      <c r="J89" s="33">
        <f t="shared" ref="J89:J90" si="80">(F89-E89)/E89</f>
        <v>2.3501805054151625</v>
      </c>
      <c r="K89" s="31">
        <f t="shared" ref="K89:K90" si="81">F89-E89</f>
        <v>162750</v>
      </c>
      <c r="N89"/>
      <c r="O89"/>
      <c r="P89"/>
      <c r="Q89"/>
    </row>
    <row r="90" spans="1:17" x14ac:dyDescent="0.25">
      <c r="B90" s="5" t="s">
        <v>107</v>
      </c>
      <c r="D90" s="6">
        <v>17700</v>
      </c>
      <c r="E90" s="6">
        <v>58935</v>
      </c>
      <c r="F90" s="6">
        <v>164000</v>
      </c>
      <c r="H90" s="8">
        <f t="shared" si="78"/>
        <v>2.3296610169491525</v>
      </c>
      <c r="I90" s="9">
        <f t="shared" si="79"/>
        <v>41235</v>
      </c>
      <c r="J90" s="8">
        <f t="shared" si="80"/>
        <v>1.7827267328412657</v>
      </c>
      <c r="K90" s="4">
        <f t="shared" si="81"/>
        <v>105065</v>
      </c>
      <c r="N90"/>
      <c r="O90"/>
      <c r="P90"/>
      <c r="Q90"/>
    </row>
    <row r="91" spans="1:17" x14ac:dyDescent="0.25">
      <c r="A91" s="29"/>
      <c r="B91" s="30" t="s">
        <v>115</v>
      </c>
      <c r="C91" s="29"/>
      <c r="D91" s="31">
        <v>42900</v>
      </c>
      <c r="E91" s="31">
        <v>12086</v>
      </c>
      <c r="F91" s="31">
        <v>24180</v>
      </c>
      <c r="G91" s="32"/>
      <c r="H91" s="33">
        <f t="shared" ref="H91" si="82">(E91-D91)/D91</f>
        <v>-0.71827505827505822</v>
      </c>
      <c r="I91" s="34">
        <f t="shared" ref="I91" si="83">E91-D91</f>
        <v>-30814</v>
      </c>
      <c r="J91" s="33">
        <f t="shared" ref="J91" si="84">(F91-E91)/E91</f>
        <v>1.0006619228859839</v>
      </c>
      <c r="K91" s="31">
        <f t="shared" ref="K91" si="85">F91-E91</f>
        <v>12094</v>
      </c>
      <c r="N91"/>
      <c r="O91"/>
      <c r="P91"/>
      <c r="Q91"/>
    </row>
    <row r="92" spans="1:17" ht="11.25" customHeight="1" x14ac:dyDescent="0.25">
      <c r="D92" s="7"/>
      <c r="E92" s="7"/>
      <c r="F92" s="7"/>
      <c r="G92" s="7"/>
    </row>
    <row r="93" spans="1:17" ht="33" customHeight="1" x14ac:dyDescent="0.25">
      <c r="A93" s="38" t="s">
        <v>77</v>
      </c>
      <c r="B93" s="38"/>
      <c r="C93" s="22"/>
      <c r="D93" s="23">
        <f>SUM(D94:D98)</f>
        <v>18353</v>
      </c>
      <c r="E93" s="23">
        <f>SUM(E94:E98)</f>
        <v>21521.149999999998</v>
      </c>
      <c r="F93" s="23">
        <f>SUM(F94:F98)</f>
        <v>28278</v>
      </c>
      <c r="G93" s="25"/>
      <c r="H93" s="24"/>
      <c r="I93" s="24"/>
      <c r="J93" s="24"/>
      <c r="K93" s="24"/>
    </row>
    <row r="94" spans="1:17" x14ac:dyDescent="0.25">
      <c r="A94" s="5" t="s">
        <v>72</v>
      </c>
      <c r="B94" s="15"/>
      <c r="D94" s="4">
        <v>8056</v>
      </c>
      <c r="E94" s="4">
        <v>6980</v>
      </c>
      <c r="F94" s="4">
        <v>9946</v>
      </c>
      <c r="G94" s="7"/>
      <c r="H94" s="8">
        <f t="shared" ref="H94:H96" si="86">(E94-D94)/D94</f>
        <v>-0.13356504468718966</v>
      </c>
      <c r="I94" s="9">
        <f t="shared" ref="I94:I96" si="87">E94-D94</f>
        <v>-1076</v>
      </c>
      <c r="J94" s="8">
        <f t="shared" ref="J94:J96" si="88">(F94-E94)/E94</f>
        <v>0.42492836676217766</v>
      </c>
      <c r="K94" s="4">
        <f t="shared" ref="K94:K96" si="89">F94-E94</f>
        <v>2966</v>
      </c>
    </row>
    <row r="95" spans="1:17" x14ac:dyDescent="0.25">
      <c r="A95" s="16" t="s">
        <v>73</v>
      </c>
      <c r="B95" s="21"/>
      <c r="C95" s="16"/>
      <c r="D95" s="17">
        <v>7381</v>
      </c>
      <c r="E95" s="17">
        <v>6685</v>
      </c>
      <c r="F95" s="17">
        <v>9616</v>
      </c>
      <c r="G95" s="18"/>
      <c r="H95" s="19">
        <f t="shared" si="86"/>
        <v>-9.4296165831188189E-2</v>
      </c>
      <c r="I95" s="20">
        <f t="shared" si="87"/>
        <v>-696</v>
      </c>
      <c r="J95" s="19">
        <f t="shared" si="88"/>
        <v>0.43844427823485416</v>
      </c>
      <c r="K95" s="17">
        <f t="shared" si="89"/>
        <v>2931</v>
      </c>
    </row>
    <row r="96" spans="1:17" x14ac:dyDescent="0.25">
      <c r="A96" s="5" t="s">
        <v>74</v>
      </c>
      <c r="B96" s="15"/>
      <c r="D96" s="4">
        <v>1150</v>
      </c>
      <c r="E96" s="4">
        <v>3734.28</v>
      </c>
      <c r="F96" s="4">
        <v>5981</v>
      </c>
      <c r="G96" s="7"/>
      <c r="H96" s="8">
        <f t="shared" si="86"/>
        <v>2.2472000000000003</v>
      </c>
      <c r="I96" s="9">
        <f t="shared" si="87"/>
        <v>2584.2800000000002</v>
      </c>
      <c r="J96" s="8">
        <f t="shared" si="88"/>
        <v>0.6016474393992951</v>
      </c>
      <c r="K96" s="4">
        <f t="shared" si="89"/>
        <v>2246.7199999999998</v>
      </c>
    </row>
    <row r="97" spans="1:11" x14ac:dyDescent="0.25">
      <c r="A97" s="16" t="s">
        <v>75</v>
      </c>
      <c r="B97" s="21" t="s">
        <v>108</v>
      </c>
      <c r="C97" s="16"/>
      <c r="D97" s="17">
        <v>800</v>
      </c>
      <c r="E97" s="17">
        <v>800</v>
      </c>
      <c r="F97" s="17"/>
      <c r="G97" s="18"/>
      <c r="H97" s="19">
        <f t="shared" ref="H97:H98" si="90">(E97-D97)/D97</f>
        <v>0</v>
      </c>
      <c r="I97" s="20">
        <f t="shared" ref="I97:I98" si="91">E97-D97</f>
        <v>0</v>
      </c>
      <c r="J97" s="19">
        <f t="shared" ref="J97:J98" si="92">(F97-E97)/E97</f>
        <v>-1</v>
      </c>
      <c r="K97" s="17">
        <f t="shared" ref="K97:K98" si="93">F97-E97</f>
        <v>-800</v>
      </c>
    </row>
    <row r="98" spans="1:11" s="15" customFormat="1" x14ac:dyDescent="0.25">
      <c r="A98" s="5" t="s">
        <v>76</v>
      </c>
      <c r="B98" s="5" t="s">
        <v>112</v>
      </c>
      <c r="C98" s="5"/>
      <c r="D98" s="4">
        <v>966</v>
      </c>
      <c r="E98" s="4">
        <v>3321.87</v>
      </c>
      <c r="F98" s="4">
        <v>2735</v>
      </c>
      <c r="G98" s="7"/>
      <c r="H98" s="8">
        <f t="shared" si="90"/>
        <v>2.4387888198757763</v>
      </c>
      <c r="I98" s="9">
        <f t="shared" si="91"/>
        <v>2355.87</v>
      </c>
      <c r="J98" s="8">
        <f t="shared" si="92"/>
        <v>-0.17666856318880628</v>
      </c>
      <c r="K98" s="4">
        <f t="shared" si="93"/>
        <v>-586.86999999999989</v>
      </c>
    </row>
    <row r="99" spans="1:11" x14ac:dyDescent="0.25">
      <c r="D99" s="7"/>
      <c r="E99" s="7"/>
      <c r="F99" s="7"/>
      <c r="G99" s="7"/>
    </row>
  </sheetData>
  <mergeCells count="20">
    <mergeCell ref="A93:B93"/>
    <mergeCell ref="A50:B50"/>
    <mergeCell ref="A58:B58"/>
    <mergeCell ref="A63:B63"/>
    <mergeCell ref="A66:B66"/>
    <mergeCell ref="A72:B72"/>
    <mergeCell ref="A1:B2"/>
    <mergeCell ref="H2:I2"/>
    <mergeCell ref="J2:K2"/>
    <mergeCell ref="A77:B77"/>
    <mergeCell ref="A85:B85"/>
    <mergeCell ref="A27:B27"/>
    <mergeCell ref="A32:B32"/>
    <mergeCell ref="A40:B40"/>
    <mergeCell ref="A44:B44"/>
    <mergeCell ref="A47:B47"/>
    <mergeCell ref="A7:B7"/>
    <mergeCell ref="A11:B11"/>
    <mergeCell ref="A15:B15"/>
    <mergeCell ref="A24:B24"/>
  </mergeCells>
  <pageMargins left="0.7" right="0.7" top="0.75" bottom="0.75" header="0.3" footer="0.3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C05B-43FE-4B78-917A-E41E5301EB98}">
  <sheetPr>
    <pageSetUpPr fitToPage="1"/>
  </sheetPr>
  <dimension ref="A3:G39"/>
  <sheetViews>
    <sheetView tabSelected="1" workbookViewId="0">
      <selection activeCell="G36" sqref="G36"/>
    </sheetView>
  </sheetViews>
  <sheetFormatPr defaultRowHeight="15" x14ac:dyDescent="0.25"/>
  <cols>
    <col min="1" max="1" width="25.28515625" style="5" customWidth="1"/>
    <col min="2" max="7" width="16.7109375" style="5" customWidth="1"/>
    <col min="8" max="16384" width="9.140625" style="5"/>
  </cols>
  <sheetData>
    <row r="3" spans="1:7" x14ac:dyDescent="0.25">
      <c r="A3" s="5" t="s">
        <v>123</v>
      </c>
      <c r="B3" s="5">
        <v>2020</v>
      </c>
      <c r="C3" s="5">
        <v>2021</v>
      </c>
      <c r="D3" s="5">
        <v>2022</v>
      </c>
      <c r="E3" s="5">
        <v>2023</v>
      </c>
      <c r="F3" s="5">
        <v>2024</v>
      </c>
      <c r="G3" s="5">
        <v>2025</v>
      </c>
    </row>
    <row r="4" spans="1:7" ht="39.75" customHeight="1" x14ac:dyDescent="0.25">
      <c r="A4" s="39" t="s">
        <v>124</v>
      </c>
      <c r="B4" s="40">
        <v>2842163.39</v>
      </c>
      <c r="C4" s="40">
        <v>1095062.99</v>
      </c>
      <c r="D4" s="40">
        <v>2276640.35</v>
      </c>
      <c r="E4" s="40">
        <v>4627320.33</v>
      </c>
      <c r="F4" s="40">
        <v>7056601.4699999997</v>
      </c>
      <c r="G4" s="40">
        <v>10503530.59</v>
      </c>
    </row>
    <row r="5" spans="1:7" x14ac:dyDescent="0.25">
      <c r="A5" s="5" t="s">
        <v>125</v>
      </c>
      <c r="B5" s="41">
        <v>0</v>
      </c>
      <c r="C5" s="41">
        <v>201335</v>
      </c>
      <c r="D5" s="41">
        <v>653707.62</v>
      </c>
      <c r="E5" s="41">
        <v>1519389.02</v>
      </c>
      <c r="F5" s="41">
        <v>3106525.21</v>
      </c>
      <c r="G5" s="41">
        <v>5282655.49</v>
      </c>
    </row>
    <row r="6" spans="1:7" x14ac:dyDescent="0.25">
      <c r="A6" s="5" t="s">
        <v>89</v>
      </c>
      <c r="B6" s="41">
        <v>63152.5</v>
      </c>
      <c r="C6" s="41">
        <v>204488.95999999999</v>
      </c>
      <c r="D6" s="41">
        <v>456005</v>
      </c>
      <c r="E6" s="41">
        <v>772403.94</v>
      </c>
      <c r="F6" s="41">
        <v>1593609</v>
      </c>
      <c r="G6" s="41">
        <v>2205607.7599999998</v>
      </c>
    </row>
    <row r="7" spans="1:7" x14ac:dyDescent="0.25">
      <c r="A7" s="5" t="s">
        <v>126</v>
      </c>
      <c r="B7" s="41">
        <v>2721855.67</v>
      </c>
      <c r="C7" s="41">
        <v>415500</v>
      </c>
      <c r="D7" s="41">
        <v>301043.20000000001</v>
      </c>
      <c r="E7" s="41">
        <v>18800</v>
      </c>
      <c r="F7" s="41">
        <v>100000</v>
      </c>
      <c r="G7" s="41">
        <v>54250</v>
      </c>
    </row>
    <row r="8" spans="1:7" x14ac:dyDescent="0.25">
      <c r="A8" s="5" t="s">
        <v>80</v>
      </c>
      <c r="B8" s="41">
        <v>0</v>
      </c>
      <c r="C8" s="41">
        <v>49565</v>
      </c>
      <c r="D8" s="41">
        <v>317322.89</v>
      </c>
      <c r="E8" s="41">
        <v>477267.5</v>
      </c>
      <c r="F8" s="41">
        <v>990302.89</v>
      </c>
      <c r="G8" s="41">
        <v>1033014.82</v>
      </c>
    </row>
    <row r="9" spans="1:7" x14ac:dyDescent="0.25">
      <c r="A9" s="5" t="s">
        <v>96</v>
      </c>
      <c r="B9" s="41">
        <v>0</v>
      </c>
      <c r="C9" s="41">
        <v>0</v>
      </c>
      <c r="D9" s="41">
        <v>231423.08</v>
      </c>
      <c r="E9" s="41">
        <v>749181.61</v>
      </c>
      <c r="F9" s="41">
        <v>569812.04</v>
      </c>
      <c r="G9" s="41">
        <v>383419.64</v>
      </c>
    </row>
    <row r="10" spans="1:7" x14ac:dyDescent="0.25">
      <c r="A10" s="5" t="s">
        <v>69</v>
      </c>
      <c r="B10" s="41">
        <v>0</v>
      </c>
      <c r="C10" s="41">
        <v>6895</v>
      </c>
      <c r="D10" s="41">
        <v>25700</v>
      </c>
      <c r="E10" s="41">
        <v>41610</v>
      </c>
      <c r="F10" s="41">
        <v>69070</v>
      </c>
      <c r="G10" s="41">
        <v>167500</v>
      </c>
    </row>
    <row r="11" spans="1:7" x14ac:dyDescent="0.25">
      <c r="A11" s="5" t="s">
        <v>127</v>
      </c>
      <c r="B11" s="41">
        <v>0</v>
      </c>
      <c r="C11" s="41">
        <v>4100</v>
      </c>
      <c r="D11" s="41">
        <v>7400</v>
      </c>
      <c r="E11" s="41">
        <v>129400</v>
      </c>
      <c r="F11" s="41">
        <v>77638.559999999998</v>
      </c>
      <c r="G11" s="41">
        <v>0</v>
      </c>
    </row>
    <row r="12" spans="1:7" x14ac:dyDescent="0.25">
      <c r="A12" s="5" t="s">
        <v>128</v>
      </c>
      <c r="B12" s="41">
        <v>13645</v>
      </c>
      <c r="C12" s="41">
        <v>158700</v>
      </c>
      <c r="D12" s="41">
        <v>0</v>
      </c>
      <c r="E12" s="41">
        <v>0</v>
      </c>
      <c r="F12" s="41">
        <v>0</v>
      </c>
      <c r="G12" s="41">
        <v>2000</v>
      </c>
    </row>
    <row r="13" spans="1:7" x14ac:dyDescent="0.25">
      <c r="A13" s="5" t="s">
        <v>99</v>
      </c>
      <c r="B13" s="41">
        <v>7143.22</v>
      </c>
      <c r="C13" s="41">
        <v>9753.08</v>
      </c>
      <c r="D13" s="41">
        <v>0</v>
      </c>
      <c r="E13" s="41">
        <v>24422.19</v>
      </c>
      <c r="F13" s="41">
        <v>39872.959999999999</v>
      </c>
      <c r="G13" s="41">
        <v>54094.44</v>
      </c>
    </row>
    <row r="14" spans="1:7" x14ac:dyDescent="0.25">
      <c r="A14" s="5" t="s">
        <v>129</v>
      </c>
      <c r="B14" s="41">
        <v>0</v>
      </c>
      <c r="C14" s="41">
        <v>0</v>
      </c>
      <c r="D14" s="41">
        <v>0</v>
      </c>
      <c r="E14" s="41">
        <v>4400</v>
      </c>
      <c r="F14" s="41">
        <v>0</v>
      </c>
      <c r="G14" s="41">
        <v>105000</v>
      </c>
    </row>
    <row r="15" spans="1:7" x14ac:dyDescent="0.25">
      <c r="A15" s="5" t="s">
        <v>87</v>
      </c>
      <c r="B15" s="41">
        <v>0</v>
      </c>
      <c r="C15" s="41">
        <v>640.75</v>
      </c>
      <c r="D15" s="41">
        <v>8774.15</v>
      </c>
      <c r="E15" s="41">
        <v>9044.25</v>
      </c>
      <c r="F15" s="41">
        <v>18930</v>
      </c>
      <c r="G15" s="41">
        <v>25352.5</v>
      </c>
    </row>
    <row r="18" spans="1:7" x14ac:dyDescent="0.25">
      <c r="A18" s="5" t="s">
        <v>130</v>
      </c>
      <c r="B18" s="5">
        <v>2020</v>
      </c>
      <c r="C18" s="5">
        <v>2021</v>
      </c>
      <c r="D18" s="5">
        <v>2022</v>
      </c>
      <c r="E18" s="5">
        <v>2023</v>
      </c>
      <c r="F18" s="5">
        <v>2024</v>
      </c>
      <c r="G18" s="5">
        <v>2025</v>
      </c>
    </row>
    <row r="19" spans="1:7" x14ac:dyDescent="0.25">
      <c r="A19" s="39" t="s">
        <v>124</v>
      </c>
      <c r="B19" s="40">
        <f>SUM(B20:B39)</f>
        <v>3286764.81</v>
      </c>
      <c r="C19" s="40">
        <f t="shared" ref="C19:G19" si="0">SUM(C20:C39)</f>
        <v>1248588.94</v>
      </c>
      <c r="D19" s="40">
        <f t="shared" si="0"/>
        <v>2340992.98</v>
      </c>
      <c r="E19" s="40">
        <f t="shared" si="0"/>
        <v>4708506.7300000004</v>
      </c>
      <c r="F19" s="40">
        <f t="shared" si="0"/>
        <v>7037656.8900000006</v>
      </c>
      <c r="G19" s="40">
        <f t="shared" si="0"/>
        <v>10094202.65</v>
      </c>
    </row>
    <row r="20" spans="1:7" x14ac:dyDescent="0.25">
      <c r="A20" s="5" t="s">
        <v>30</v>
      </c>
      <c r="B20" s="41">
        <v>74280</v>
      </c>
      <c r="C20" s="41">
        <v>214305</v>
      </c>
      <c r="D20" s="41">
        <v>452350</v>
      </c>
      <c r="E20" s="41">
        <v>1454110.52</v>
      </c>
      <c r="F20" s="41">
        <v>1703185.16</v>
      </c>
      <c r="G20" s="41">
        <v>3200500</v>
      </c>
    </row>
    <row r="21" spans="1:7" x14ac:dyDescent="0.25">
      <c r="A21" s="5" t="s">
        <v>37</v>
      </c>
      <c r="B21" s="41">
        <v>35000</v>
      </c>
      <c r="C21" s="41">
        <v>74200</v>
      </c>
      <c r="D21" s="41">
        <v>156100</v>
      </c>
      <c r="E21" s="41">
        <v>452900</v>
      </c>
      <c r="F21" s="41">
        <v>781000</v>
      </c>
      <c r="G21" s="41">
        <v>1004000</v>
      </c>
    </row>
    <row r="22" spans="1:7" x14ac:dyDescent="0.25">
      <c r="A22" s="5" t="s">
        <v>41</v>
      </c>
      <c r="B22" s="41">
        <v>2762.86</v>
      </c>
      <c r="C22" s="41">
        <v>6398.86</v>
      </c>
      <c r="D22" s="41">
        <v>268998.56</v>
      </c>
      <c r="E22" s="41">
        <v>234660.53</v>
      </c>
      <c r="F22" s="41">
        <v>440815.99</v>
      </c>
      <c r="G22" s="41">
        <v>788932.78</v>
      </c>
    </row>
    <row r="23" spans="1:7" x14ac:dyDescent="0.25">
      <c r="A23" s="5" t="s">
        <v>59</v>
      </c>
      <c r="B23" s="41">
        <v>18100</v>
      </c>
      <c r="C23" s="41">
        <v>56420</v>
      </c>
      <c r="D23" s="41">
        <v>165930</v>
      </c>
      <c r="E23" s="41">
        <v>250900</v>
      </c>
      <c r="F23" s="41">
        <v>430250</v>
      </c>
      <c r="G23" s="41">
        <v>660000</v>
      </c>
    </row>
    <row r="24" spans="1:7" x14ac:dyDescent="0.25">
      <c r="A24" s="5" t="s">
        <v>27</v>
      </c>
      <c r="B24" s="41">
        <v>9900.4</v>
      </c>
      <c r="C24" s="41">
        <v>41767.5</v>
      </c>
      <c r="D24" s="41">
        <v>254533.72</v>
      </c>
      <c r="E24" s="41">
        <v>345458</v>
      </c>
      <c r="F24" s="41">
        <v>595482</v>
      </c>
      <c r="G24" s="41">
        <v>854008</v>
      </c>
    </row>
    <row r="25" spans="1:7" x14ac:dyDescent="0.25">
      <c r="A25" s="5" t="s">
        <v>18</v>
      </c>
      <c r="B25" s="41">
        <v>45857</v>
      </c>
      <c r="C25" s="41">
        <v>135875</v>
      </c>
      <c r="D25" s="41">
        <v>234443.66</v>
      </c>
      <c r="E25" s="41">
        <v>356007</v>
      </c>
      <c r="F25" s="41">
        <v>452875</v>
      </c>
      <c r="G25" s="41">
        <v>695397</v>
      </c>
    </row>
    <row r="26" spans="1:7" x14ac:dyDescent="0.25">
      <c r="A26" s="5" t="s">
        <v>13</v>
      </c>
      <c r="B26" s="41">
        <v>8050</v>
      </c>
      <c r="C26" s="41">
        <v>118000</v>
      </c>
      <c r="D26" s="41">
        <v>20125</v>
      </c>
      <c r="E26" s="41">
        <v>175150</v>
      </c>
      <c r="F26" s="41">
        <v>254670</v>
      </c>
      <c r="G26" s="41">
        <v>394180</v>
      </c>
    </row>
    <row r="27" spans="1:7" x14ac:dyDescent="0.25">
      <c r="A27" s="5" t="s">
        <v>66</v>
      </c>
      <c r="B27" s="41">
        <v>240</v>
      </c>
      <c r="C27" s="41">
        <v>33836.14</v>
      </c>
      <c r="D27" s="41">
        <v>80142.44</v>
      </c>
      <c r="E27" s="41">
        <v>89790.04</v>
      </c>
      <c r="F27" s="41">
        <v>142177.01</v>
      </c>
      <c r="G27" s="41">
        <v>572614.72</v>
      </c>
    </row>
    <row r="28" spans="1:7" x14ac:dyDescent="0.25">
      <c r="A28" s="5" t="s">
        <v>131</v>
      </c>
      <c r="B28" s="41">
        <v>3751.9</v>
      </c>
      <c r="C28" s="41">
        <v>69365.600000000006</v>
      </c>
      <c r="D28" s="41">
        <v>275793.18</v>
      </c>
      <c r="E28" s="41">
        <v>100405.06</v>
      </c>
      <c r="F28" s="41">
        <v>130806.17</v>
      </c>
      <c r="G28" s="41">
        <v>255373.06</v>
      </c>
    </row>
    <row r="29" spans="1:7" x14ac:dyDescent="0.25">
      <c r="A29" s="5" t="s">
        <v>3</v>
      </c>
      <c r="B29" s="41">
        <v>14630.01</v>
      </c>
      <c r="C29" s="41">
        <v>24419.19</v>
      </c>
      <c r="D29" s="41">
        <v>89950.35</v>
      </c>
      <c r="E29" s="41">
        <v>121290.4</v>
      </c>
      <c r="F29" s="41">
        <v>147930.88</v>
      </c>
      <c r="G29" s="41">
        <v>131047.51</v>
      </c>
    </row>
    <row r="30" spans="1:7" x14ac:dyDescent="0.25">
      <c r="A30" s="5" t="s">
        <v>132</v>
      </c>
      <c r="B30" s="41">
        <v>0</v>
      </c>
      <c r="C30" s="41">
        <v>600</v>
      </c>
      <c r="D30" s="41">
        <v>0</v>
      </c>
      <c r="E30" s="41">
        <v>48450</v>
      </c>
      <c r="F30" s="41">
        <v>170610</v>
      </c>
      <c r="G30" s="41">
        <v>216360</v>
      </c>
    </row>
    <row r="31" spans="1:7" x14ac:dyDescent="0.25">
      <c r="A31" s="5" t="s">
        <v>55</v>
      </c>
      <c r="B31" s="41">
        <v>43.7</v>
      </c>
      <c r="C31" s="41">
        <v>3655</v>
      </c>
      <c r="D31" s="41">
        <v>13064.67</v>
      </c>
      <c r="E31" s="41">
        <v>134145.69</v>
      </c>
      <c r="F31" s="41">
        <v>55659.12</v>
      </c>
      <c r="G31" s="41">
        <v>171014.6</v>
      </c>
    </row>
    <row r="32" spans="1:7" x14ac:dyDescent="0.25">
      <c r="A32" s="5" t="s">
        <v>28</v>
      </c>
      <c r="B32" s="41">
        <v>0</v>
      </c>
      <c r="C32" s="41">
        <v>3075</v>
      </c>
      <c r="D32" s="41">
        <v>25394</v>
      </c>
      <c r="E32" s="41">
        <v>81000</v>
      </c>
      <c r="F32" s="41">
        <v>127650</v>
      </c>
      <c r="G32" s="41">
        <v>113591.2</v>
      </c>
    </row>
    <row r="33" spans="1:7" x14ac:dyDescent="0.25">
      <c r="A33" s="5" t="s">
        <v>25</v>
      </c>
      <c r="B33" s="41">
        <v>85</v>
      </c>
      <c r="C33" s="41">
        <v>120.25</v>
      </c>
      <c r="D33" s="41">
        <v>20579.55</v>
      </c>
      <c r="E33" s="41">
        <v>35458</v>
      </c>
      <c r="F33" s="41">
        <v>41311.410000000003</v>
      </c>
      <c r="G33" s="41">
        <v>43850</v>
      </c>
    </row>
    <row r="34" spans="1:7" x14ac:dyDescent="0.25">
      <c r="A34" s="5" t="s">
        <v>15</v>
      </c>
      <c r="B34" s="41">
        <v>3129.5</v>
      </c>
      <c r="C34" s="41">
        <v>11679.87</v>
      </c>
      <c r="D34" s="41">
        <v>24950.41</v>
      </c>
      <c r="E34" s="41">
        <v>27802.23</v>
      </c>
      <c r="F34" s="41">
        <v>119594.44</v>
      </c>
      <c r="G34" s="41">
        <v>99162.559999999998</v>
      </c>
    </row>
    <row r="35" spans="1:7" x14ac:dyDescent="0.25">
      <c r="A35" s="5" t="s">
        <v>0</v>
      </c>
      <c r="B35" s="41">
        <v>260</v>
      </c>
      <c r="C35" s="41">
        <v>3029.95</v>
      </c>
      <c r="D35" s="41">
        <v>25148</v>
      </c>
      <c r="E35" s="41">
        <v>69650.600000000006</v>
      </c>
      <c r="F35" s="41">
        <v>116841</v>
      </c>
      <c r="G35" s="41">
        <v>47650</v>
      </c>
    </row>
    <row r="36" spans="1:7" x14ac:dyDescent="0.25">
      <c r="A36" s="5" t="s">
        <v>5</v>
      </c>
      <c r="B36" s="41">
        <v>25214.75</v>
      </c>
      <c r="C36" s="41">
        <v>13538.86</v>
      </c>
      <c r="D36" s="41">
        <v>10628.71</v>
      </c>
      <c r="E36" s="41">
        <v>26120.69</v>
      </c>
      <c r="F36" s="41">
        <v>64150</v>
      </c>
      <c r="G36" s="41">
        <v>58472.46</v>
      </c>
    </row>
    <row r="37" spans="1:7" x14ac:dyDescent="0.25">
      <c r="A37" s="5" t="s">
        <v>50</v>
      </c>
      <c r="B37" s="41">
        <v>2198.69</v>
      </c>
      <c r="C37" s="41">
        <v>14918.16</v>
      </c>
      <c r="D37" s="41">
        <v>16348.5</v>
      </c>
      <c r="E37" s="41">
        <v>57733</v>
      </c>
      <c r="F37" s="41">
        <v>43145.58</v>
      </c>
      <c r="G37" s="41">
        <v>14301</v>
      </c>
    </row>
    <row r="38" spans="1:7" x14ac:dyDescent="0.25">
      <c r="A38" s="5" t="s">
        <v>77</v>
      </c>
      <c r="B38" s="41">
        <v>1708</v>
      </c>
      <c r="C38" s="41">
        <v>4919.5600000000004</v>
      </c>
      <c r="D38" s="41">
        <v>14489.23</v>
      </c>
      <c r="E38" s="41">
        <v>18353.97</v>
      </c>
      <c r="F38" s="41">
        <v>21522.13</v>
      </c>
      <c r="G38" s="41">
        <v>28278.76</v>
      </c>
    </row>
    <row r="39" spans="1:7" x14ac:dyDescent="0.25">
      <c r="A39" s="5" t="s">
        <v>133</v>
      </c>
      <c r="B39" s="41">
        <v>3041553</v>
      </c>
      <c r="C39" s="41">
        <v>418465</v>
      </c>
      <c r="D39" s="41">
        <v>192023</v>
      </c>
      <c r="E39" s="41">
        <v>629121</v>
      </c>
      <c r="F39" s="41">
        <v>1197981</v>
      </c>
      <c r="G39" s="41">
        <v>745469</v>
      </c>
    </row>
  </sheetData>
  <pageMargins left="0.7" right="0.7" top="0.75" bottom="0.75" header="0.3" footer="0.3"/>
  <pageSetup paperSize="9"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3CF2-294F-4CF3-8930-C24C892C00B3}">
  <sheetPr>
    <pageSetUpPr fitToPage="1"/>
  </sheetPr>
  <dimension ref="A1:J47"/>
  <sheetViews>
    <sheetView showGridLines="0" topLeftCell="A19" zoomScaleNormal="100" workbookViewId="0">
      <selection activeCell="M38" sqref="M38"/>
    </sheetView>
  </sheetViews>
  <sheetFormatPr defaultRowHeight="15" x14ac:dyDescent="0.25"/>
  <cols>
    <col min="1" max="1" width="30" customWidth="1"/>
    <col min="2" max="2" width="3.42578125" customWidth="1"/>
    <col min="3" max="5" width="13.85546875" style="1" customWidth="1"/>
    <col min="7" max="10" width="13.85546875" style="1" customWidth="1"/>
  </cols>
  <sheetData>
    <row r="1" spans="1:10" s="5" customFormat="1" ht="31.5" customHeight="1" x14ac:dyDescent="0.25">
      <c r="A1" s="36" t="s">
        <v>121</v>
      </c>
      <c r="B1" s="36"/>
      <c r="C1" s="6"/>
      <c r="D1" s="6"/>
      <c r="E1" s="6"/>
      <c r="F1" s="6"/>
      <c r="G1" s="6"/>
      <c r="H1" s="6"/>
      <c r="I1" s="6"/>
      <c r="J1" s="6"/>
    </row>
    <row r="2" spans="1:10" s="5" customFormat="1" ht="28.5" customHeight="1" x14ac:dyDescent="0.25">
      <c r="A2" s="36"/>
      <c r="B2" s="36"/>
      <c r="C2" s="6"/>
      <c r="D2" s="6"/>
      <c r="E2" s="6"/>
      <c r="F2" s="6"/>
      <c r="G2" s="37" t="s">
        <v>117</v>
      </c>
      <c r="H2" s="37"/>
      <c r="I2" s="37" t="s">
        <v>118</v>
      </c>
      <c r="J2" s="37"/>
    </row>
    <row r="3" spans="1:10" s="5" customFormat="1" ht="24.75" customHeight="1" x14ac:dyDescent="0.25">
      <c r="C3" s="10">
        <v>2023</v>
      </c>
      <c r="D3" s="10">
        <v>2024</v>
      </c>
      <c r="E3" s="10">
        <v>2025</v>
      </c>
      <c r="F3" s="10"/>
      <c r="G3" s="10" t="s">
        <v>119</v>
      </c>
      <c r="H3" s="10" t="s">
        <v>120</v>
      </c>
      <c r="I3" s="10" t="s">
        <v>119</v>
      </c>
      <c r="J3" s="10" t="s">
        <v>120</v>
      </c>
    </row>
    <row r="4" spans="1:10" s="5" customFormat="1" ht="21" customHeight="1" x14ac:dyDescent="0.25">
      <c r="C4" s="6"/>
      <c r="D4" s="6"/>
      <c r="E4" s="6"/>
      <c r="F4" s="6"/>
      <c r="G4" s="6"/>
      <c r="H4" s="6"/>
      <c r="I4" s="6"/>
      <c r="J4" s="6"/>
    </row>
    <row r="5" spans="1:10" ht="21" x14ac:dyDescent="0.25">
      <c r="A5" s="38" t="s">
        <v>78</v>
      </c>
      <c r="B5" s="38"/>
      <c r="C5" s="23">
        <f>SUM(C6)</f>
        <v>0</v>
      </c>
      <c r="D5" s="23">
        <f t="shared" ref="D5:E5" si="0">SUM(D6)</f>
        <v>84000</v>
      </c>
      <c r="E5" s="23">
        <f t="shared" si="0"/>
        <v>52146</v>
      </c>
      <c r="F5" s="24"/>
      <c r="G5" s="24"/>
      <c r="H5" s="24"/>
      <c r="I5" s="24"/>
      <c r="J5" s="24"/>
    </row>
    <row r="6" spans="1:10" x14ac:dyDescent="0.25">
      <c r="A6" t="s">
        <v>79</v>
      </c>
      <c r="C6" s="4"/>
      <c r="D6" s="4">
        <v>84000</v>
      </c>
      <c r="E6" s="4">
        <v>52146</v>
      </c>
      <c r="F6" s="7"/>
      <c r="G6" s="8" t="e">
        <f>(D6-C6)/C6</f>
        <v>#DIV/0!</v>
      </c>
      <c r="H6" s="9">
        <f>D6-C6</f>
        <v>84000</v>
      </c>
      <c r="I6" s="8">
        <f>(E6-D6)/D6</f>
        <v>-0.37921428571428573</v>
      </c>
      <c r="J6" s="4">
        <f>E6-D6</f>
        <v>-31854</v>
      </c>
    </row>
    <row r="7" spans="1:10" ht="23.25" customHeight="1" x14ac:dyDescent="0.25">
      <c r="C7" s="4"/>
      <c r="D7" s="4"/>
      <c r="E7" s="4"/>
      <c r="F7" s="7"/>
      <c r="G7" s="27"/>
      <c r="H7" s="28"/>
      <c r="I7" s="27"/>
      <c r="J7" s="4"/>
    </row>
    <row r="8" spans="1:10" ht="21" x14ac:dyDescent="0.25">
      <c r="A8" s="38" t="s">
        <v>80</v>
      </c>
      <c r="B8" s="38"/>
      <c r="C8" s="23">
        <f>SUM(C9:C14)</f>
        <v>468517</v>
      </c>
      <c r="D8" s="23">
        <f t="shared" ref="D8:E8" si="1">SUM(D9:D14)</f>
        <v>954303</v>
      </c>
      <c r="E8" s="23">
        <f t="shared" si="1"/>
        <v>969015</v>
      </c>
      <c r="F8" s="24"/>
      <c r="G8" s="24"/>
      <c r="H8" s="24"/>
      <c r="I8" s="24"/>
      <c r="J8" s="24"/>
    </row>
    <row r="9" spans="1:10" x14ac:dyDescent="0.25">
      <c r="A9" t="s">
        <v>81</v>
      </c>
      <c r="C9" s="4">
        <v>287403</v>
      </c>
      <c r="D9" s="4">
        <v>421563</v>
      </c>
      <c r="E9" s="4">
        <v>836115</v>
      </c>
      <c r="F9" s="7"/>
      <c r="G9" s="8">
        <f>(D9-C9)/C9</f>
        <v>0.46680097284997024</v>
      </c>
      <c r="H9" s="9">
        <f>D9-C9</f>
        <v>134160</v>
      </c>
      <c r="I9" s="8">
        <f>(E9-D9)/D9</f>
        <v>0.98336903380989316</v>
      </c>
      <c r="J9" s="4">
        <f>E9-D9</f>
        <v>414552</v>
      </c>
    </row>
    <row r="10" spans="1:10" x14ac:dyDescent="0.25">
      <c r="A10" s="26" t="s">
        <v>82</v>
      </c>
      <c r="B10" s="26"/>
      <c r="C10" s="17"/>
      <c r="D10" s="17"/>
      <c r="E10" s="17"/>
      <c r="F10" s="18"/>
      <c r="G10" s="19"/>
      <c r="H10" s="20"/>
      <c r="I10" s="19"/>
      <c r="J10" s="17"/>
    </row>
    <row r="11" spans="1:10" x14ac:dyDescent="0.25">
      <c r="A11" t="s">
        <v>83</v>
      </c>
      <c r="C11" s="4"/>
      <c r="D11" s="4"/>
      <c r="E11" s="4"/>
      <c r="F11" s="7"/>
      <c r="G11" s="8"/>
      <c r="H11" s="9"/>
      <c r="I11" s="8"/>
      <c r="J11" s="4"/>
    </row>
    <row r="12" spans="1:10" x14ac:dyDescent="0.25">
      <c r="A12" s="26" t="s">
        <v>84</v>
      </c>
      <c r="B12" s="26"/>
      <c r="C12" s="17"/>
      <c r="D12" s="17"/>
      <c r="E12" s="17"/>
      <c r="F12" s="18"/>
      <c r="G12" s="19"/>
      <c r="H12" s="20"/>
      <c r="I12" s="19"/>
      <c r="J12" s="17"/>
    </row>
    <row r="13" spans="1:10" x14ac:dyDescent="0.25">
      <c r="A13" t="s">
        <v>85</v>
      </c>
      <c r="C13" s="4">
        <v>181114</v>
      </c>
      <c r="D13" s="4">
        <v>532740</v>
      </c>
      <c r="E13" s="4">
        <v>132900</v>
      </c>
      <c r="F13" s="7"/>
      <c r="G13" s="8">
        <f>(D13-C13)/C13</f>
        <v>1.9414622834237001</v>
      </c>
      <c r="H13" s="9">
        <f>D13-C13</f>
        <v>351626</v>
      </c>
      <c r="I13" s="8">
        <f>(E13-D13)/D13</f>
        <v>-0.75053497015429671</v>
      </c>
      <c r="J13" s="4">
        <f>E13-D13</f>
        <v>-399840</v>
      </c>
    </row>
    <row r="14" spans="1:10" x14ac:dyDescent="0.25">
      <c r="A14" s="26" t="s">
        <v>86</v>
      </c>
      <c r="B14" s="26"/>
      <c r="C14" s="17"/>
      <c r="D14" s="17"/>
      <c r="E14" s="17"/>
      <c r="F14" s="18"/>
      <c r="G14" s="19"/>
      <c r="H14" s="20"/>
      <c r="I14" s="19"/>
      <c r="J14" s="17"/>
    </row>
    <row r="15" spans="1:10" ht="23.25" customHeight="1" x14ac:dyDescent="0.25">
      <c r="C15" s="3"/>
      <c r="D15" s="3"/>
      <c r="E15" s="3"/>
      <c r="F15" s="2"/>
      <c r="G15" s="3"/>
    </row>
    <row r="16" spans="1:10" ht="21" x14ac:dyDescent="0.25">
      <c r="A16" s="38" t="s">
        <v>87</v>
      </c>
      <c r="B16" s="38"/>
      <c r="C16" s="23">
        <f>SUM(C17)</f>
        <v>9044</v>
      </c>
      <c r="D16" s="23">
        <f t="shared" ref="D16" si="2">SUM(D17)</f>
        <v>18930</v>
      </c>
      <c r="E16" s="23">
        <f t="shared" ref="E16" si="3">SUM(E17)</f>
        <v>25352</v>
      </c>
      <c r="F16" s="24"/>
      <c r="G16" s="24"/>
      <c r="H16" s="24"/>
      <c r="I16" s="24"/>
      <c r="J16" s="24"/>
    </row>
    <row r="17" spans="1:10" x14ac:dyDescent="0.25">
      <c r="A17" t="s">
        <v>88</v>
      </c>
      <c r="C17" s="4">
        <v>9044</v>
      </c>
      <c r="D17" s="4">
        <v>18930</v>
      </c>
      <c r="E17" s="4">
        <v>25352</v>
      </c>
      <c r="F17" s="7"/>
      <c r="G17" s="8">
        <f>(D17-C17)/C17</f>
        <v>1.0931003980539584</v>
      </c>
      <c r="H17" s="9">
        <f>D17-C17</f>
        <v>9886</v>
      </c>
      <c r="I17" s="8">
        <f>(E17-D17)/D17</f>
        <v>0.33924986793449552</v>
      </c>
      <c r="J17" s="4">
        <f>E17-D17</f>
        <v>6422</v>
      </c>
    </row>
    <row r="18" spans="1:10" ht="23.25" customHeight="1" x14ac:dyDescent="0.25">
      <c r="C18" s="3"/>
      <c r="D18" s="3"/>
      <c r="E18" s="3"/>
      <c r="F18" s="2"/>
      <c r="G18" s="3"/>
    </row>
    <row r="19" spans="1:10" ht="21" x14ac:dyDescent="0.25">
      <c r="A19" s="38" t="s">
        <v>89</v>
      </c>
      <c r="B19" s="38"/>
      <c r="C19" s="23">
        <f>SUM(C20:C23)</f>
        <v>772404</v>
      </c>
      <c r="D19" s="23">
        <f t="shared" ref="D19:E19" si="4">SUM(D20:D23)</f>
        <v>1593580</v>
      </c>
      <c r="E19" s="23">
        <f t="shared" si="4"/>
        <v>2205607</v>
      </c>
      <c r="F19" s="24"/>
      <c r="G19" s="24"/>
      <c r="H19" s="24"/>
      <c r="I19" s="24"/>
      <c r="J19" s="24"/>
    </row>
    <row r="20" spans="1:10" x14ac:dyDescent="0.25">
      <c r="A20" t="s">
        <v>90</v>
      </c>
      <c r="C20" s="4">
        <v>272725</v>
      </c>
      <c r="D20" s="4">
        <v>842750</v>
      </c>
      <c r="E20" s="4">
        <v>1238128</v>
      </c>
      <c r="F20" s="7"/>
      <c r="G20" s="8">
        <f>(D20-C20)/C20</f>
        <v>2.0901090842423686</v>
      </c>
      <c r="H20" s="9">
        <f>D20-C20</f>
        <v>570025</v>
      </c>
      <c r="I20" s="8">
        <f>(E20-D20)/D20</f>
        <v>0.46915218036191042</v>
      </c>
      <c r="J20" s="4">
        <f>E20-D20</f>
        <v>395378</v>
      </c>
    </row>
    <row r="21" spans="1:10" x14ac:dyDescent="0.25">
      <c r="A21" s="26" t="s">
        <v>91</v>
      </c>
      <c r="B21" s="26"/>
      <c r="C21" s="17"/>
      <c r="D21" s="17"/>
      <c r="E21" s="17"/>
      <c r="F21" s="18"/>
      <c r="G21" s="19"/>
      <c r="H21" s="20"/>
      <c r="I21" s="19"/>
      <c r="J21" s="17"/>
    </row>
    <row r="22" spans="1:10" x14ac:dyDescent="0.25">
      <c r="A22" t="s">
        <v>92</v>
      </c>
      <c r="C22" s="4">
        <v>499679</v>
      </c>
      <c r="D22" s="4">
        <v>750830</v>
      </c>
      <c r="E22" s="4">
        <v>967479</v>
      </c>
      <c r="F22" s="7"/>
      <c r="G22" s="8">
        <f>(D22-C22)/C22</f>
        <v>0.50262468504780067</v>
      </c>
      <c r="H22" s="9">
        <f>D22-C22</f>
        <v>251151</v>
      </c>
      <c r="I22" s="8">
        <f>(E22-D22)/D22</f>
        <v>0.28854600908328115</v>
      </c>
      <c r="J22" s="4">
        <f>E22-D22</f>
        <v>216649</v>
      </c>
    </row>
    <row r="23" spans="1:10" x14ac:dyDescent="0.25">
      <c r="A23" s="26" t="s">
        <v>93</v>
      </c>
      <c r="B23" s="26"/>
      <c r="C23" s="17"/>
      <c r="D23" s="17"/>
      <c r="E23" s="17"/>
      <c r="F23" s="18"/>
      <c r="G23" s="19"/>
      <c r="H23" s="20"/>
      <c r="I23" s="19"/>
      <c r="J23" s="17"/>
    </row>
    <row r="24" spans="1:10" ht="23.25" customHeight="1" x14ac:dyDescent="0.25">
      <c r="C24" s="3"/>
      <c r="D24" s="3"/>
      <c r="E24" s="3"/>
      <c r="F24" s="2"/>
      <c r="G24" s="3"/>
    </row>
    <row r="25" spans="1:10" ht="21" x14ac:dyDescent="0.25">
      <c r="A25" s="22" t="s">
        <v>94</v>
      </c>
      <c r="B25" s="22"/>
      <c r="C25" s="23">
        <f>SUM(C26)</f>
        <v>18800</v>
      </c>
      <c r="D25" s="23">
        <f t="shared" ref="D25" si="5">SUM(D26)</f>
        <v>100000</v>
      </c>
      <c r="E25" s="23">
        <f t="shared" ref="E25" si="6">SUM(E26)</f>
        <v>54250</v>
      </c>
      <c r="F25" s="24"/>
      <c r="G25" s="24"/>
      <c r="H25" s="24"/>
      <c r="I25" s="24"/>
      <c r="J25" s="24"/>
    </row>
    <row r="26" spans="1:10" x14ac:dyDescent="0.25">
      <c r="A26" t="s">
        <v>95</v>
      </c>
      <c r="C26" s="4">
        <v>18800</v>
      </c>
      <c r="D26" s="4">
        <v>100000</v>
      </c>
      <c r="E26" s="4">
        <v>54250</v>
      </c>
      <c r="F26" s="7"/>
      <c r="G26" s="8">
        <f>(D26-C26)/C26</f>
        <v>4.3191489361702127</v>
      </c>
      <c r="H26" s="9">
        <f>D26-C26</f>
        <v>81200</v>
      </c>
      <c r="I26" s="8">
        <f>(E26-D26)/D26</f>
        <v>-0.45750000000000002</v>
      </c>
      <c r="J26" s="4">
        <f>E26-D26</f>
        <v>-45750</v>
      </c>
    </row>
    <row r="27" spans="1:10" ht="23.25" customHeight="1" x14ac:dyDescent="0.25">
      <c r="C27" s="3"/>
      <c r="D27" s="3"/>
      <c r="E27" s="3"/>
      <c r="F27" s="2"/>
      <c r="G27" s="3"/>
    </row>
    <row r="28" spans="1:10" ht="21" x14ac:dyDescent="0.25">
      <c r="A28" s="38" t="s">
        <v>43</v>
      </c>
      <c r="B28" s="38"/>
      <c r="C28" s="23">
        <f>SUM(C29:C34)</f>
        <v>1506985</v>
      </c>
      <c r="D28" s="23">
        <f t="shared" ref="D28:E28" si="7">SUM(D29:D34)</f>
        <v>3072544</v>
      </c>
      <c r="E28" s="23">
        <f t="shared" si="7"/>
        <v>5249201</v>
      </c>
      <c r="F28" s="24"/>
      <c r="G28" s="24"/>
      <c r="H28" s="24"/>
      <c r="I28" s="24"/>
      <c r="J28" s="24"/>
    </row>
    <row r="29" spans="1:10" x14ac:dyDescent="0.25">
      <c r="A29" t="s">
        <v>44</v>
      </c>
      <c r="C29" s="4">
        <v>570285</v>
      </c>
      <c r="D29" s="4">
        <v>1255871</v>
      </c>
      <c r="E29" s="4">
        <v>1121220</v>
      </c>
      <c r="F29" s="7"/>
      <c r="G29" s="8">
        <f>(D29-C29)/C29</f>
        <v>1.2021813654576221</v>
      </c>
      <c r="H29" s="9">
        <f>D29-C29</f>
        <v>685586</v>
      </c>
      <c r="I29" s="8">
        <f>(E29-D29)/D29</f>
        <v>-0.10721722215100117</v>
      </c>
      <c r="J29" s="4">
        <f>E29-D29</f>
        <v>-134651</v>
      </c>
    </row>
    <row r="30" spans="1:10" x14ac:dyDescent="0.25">
      <c r="A30" s="26" t="s">
        <v>45</v>
      </c>
      <c r="B30" s="26"/>
      <c r="C30" s="17">
        <v>542700</v>
      </c>
      <c r="D30" s="17">
        <v>1153145</v>
      </c>
      <c r="E30" s="17">
        <v>2165500</v>
      </c>
      <c r="F30" s="18"/>
      <c r="G30" s="19">
        <f t="shared" ref="G30:G33" si="8">(D30-C30)/C30</f>
        <v>1.1248295559240833</v>
      </c>
      <c r="H30" s="20">
        <f t="shared" ref="H30:H33" si="9">D30-C30</f>
        <v>610445</v>
      </c>
      <c r="I30" s="19">
        <f t="shared" ref="I30:I33" si="10">(E30-D30)/D30</f>
        <v>0.87790780864505336</v>
      </c>
      <c r="J30" s="17">
        <f t="shared" ref="J30:J33" si="11">E30-D30</f>
        <v>1012355</v>
      </c>
    </row>
    <row r="31" spans="1:10" x14ac:dyDescent="0.25">
      <c r="A31" t="s">
        <v>46</v>
      </c>
      <c r="C31" s="4">
        <v>93125</v>
      </c>
      <c r="D31" s="4">
        <v>110000</v>
      </c>
      <c r="E31" s="4">
        <v>232500</v>
      </c>
      <c r="F31" s="7"/>
      <c r="G31" s="8">
        <f t="shared" si="8"/>
        <v>0.18120805369127516</v>
      </c>
      <c r="H31" s="9">
        <f t="shared" si="9"/>
        <v>16875</v>
      </c>
      <c r="I31" s="8">
        <f t="shared" si="10"/>
        <v>1.1136363636363635</v>
      </c>
      <c r="J31" s="4">
        <f t="shared" si="11"/>
        <v>122500</v>
      </c>
    </row>
    <row r="32" spans="1:10" x14ac:dyDescent="0.25">
      <c r="A32" s="26" t="s">
        <v>47</v>
      </c>
      <c r="B32" s="26"/>
      <c r="C32" s="17">
        <v>31125</v>
      </c>
      <c r="D32" s="17">
        <v>59678</v>
      </c>
      <c r="E32" s="17">
        <v>143500</v>
      </c>
      <c r="F32" s="18"/>
      <c r="G32" s="19">
        <f t="shared" si="8"/>
        <v>0.91736546184738954</v>
      </c>
      <c r="H32" s="20">
        <f t="shared" si="9"/>
        <v>28553</v>
      </c>
      <c r="I32" s="19">
        <f t="shared" si="10"/>
        <v>1.4045711987667147</v>
      </c>
      <c r="J32" s="17">
        <f t="shared" si="11"/>
        <v>83822</v>
      </c>
    </row>
    <row r="33" spans="1:10" x14ac:dyDescent="0.25">
      <c r="A33" t="s">
        <v>48</v>
      </c>
      <c r="C33" s="4">
        <v>269750</v>
      </c>
      <c r="D33" s="4">
        <v>493850</v>
      </c>
      <c r="E33" s="4">
        <v>1586481</v>
      </c>
      <c r="F33" s="7"/>
      <c r="G33" s="8">
        <f t="shared" si="8"/>
        <v>0.83076923076923082</v>
      </c>
      <c r="H33" s="9">
        <f t="shared" si="9"/>
        <v>224100</v>
      </c>
      <c r="I33" s="8">
        <f t="shared" si="10"/>
        <v>2.2124754480105295</v>
      </c>
      <c r="J33" s="4">
        <f t="shared" si="11"/>
        <v>1092631</v>
      </c>
    </row>
    <row r="34" spans="1:10" x14ac:dyDescent="0.25">
      <c r="A34" s="26" t="s">
        <v>49</v>
      </c>
      <c r="B34" s="26"/>
      <c r="C34" s="17"/>
      <c r="D34" s="17"/>
      <c r="E34" s="17"/>
      <c r="F34" s="18"/>
      <c r="G34" s="19"/>
      <c r="H34" s="20"/>
      <c r="I34" s="19"/>
      <c r="J34" s="17"/>
    </row>
    <row r="35" spans="1:10" x14ac:dyDescent="0.25">
      <c r="C35" s="3"/>
      <c r="D35" s="3"/>
      <c r="E35" s="3"/>
      <c r="F35" s="2"/>
      <c r="G35" s="3"/>
    </row>
    <row r="36" spans="1:10" ht="21" x14ac:dyDescent="0.25">
      <c r="A36" s="38" t="s">
        <v>96</v>
      </c>
      <c r="B36" s="38"/>
      <c r="C36" s="23">
        <f>SUM(C37:C38)</f>
        <v>749181</v>
      </c>
      <c r="D36" s="23">
        <f t="shared" ref="D36:E36" si="12">SUM(D37:D38)</f>
        <v>569812</v>
      </c>
      <c r="E36" s="23">
        <f t="shared" si="12"/>
        <v>383420</v>
      </c>
      <c r="F36" s="24"/>
      <c r="G36" s="24"/>
      <c r="H36" s="24"/>
      <c r="I36" s="24"/>
      <c r="J36" s="24"/>
    </row>
    <row r="37" spans="1:10" x14ac:dyDescent="0.25">
      <c r="A37" t="s">
        <v>97</v>
      </c>
      <c r="C37" s="4">
        <v>749181</v>
      </c>
      <c r="D37" s="4">
        <v>558312</v>
      </c>
      <c r="E37" s="4">
        <v>383420</v>
      </c>
      <c r="F37" s="7"/>
      <c r="G37" s="8">
        <f t="shared" ref="G37:G38" si="13">(D37-C37)/C37</f>
        <v>-0.25477020906830261</v>
      </c>
      <c r="H37" s="9">
        <f t="shared" ref="H37:H38" si="14">D37-C37</f>
        <v>-190869</v>
      </c>
      <c r="I37" s="8">
        <f t="shared" ref="I37:I38" si="15">(E37-D37)/D37</f>
        <v>-0.31325137199272091</v>
      </c>
      <c r="J37" s="4">
        <f t="shared" ref="J37:J38" si="16">E37-D37</f>
        <v>-174892</v>
      </c>
    </row>
    <row r="38" spans="1:10" x14ac:dyDescent="0.25">
      <c r="A38" s="26" t="s">
        <v>98</v>
      </c>
      <c r="B38" s="26"/>
      <c r="C38" s="17"/>
      <c r="D38" s="17">
        <v>11500</v>
      </c>
      <c r="E38" s="17"/>
      <c r="F38" s="18"/>
      <c r="G38" s="19" t="e">
        <f t="shared" si="13"/>
        <v>#DIV/0!</v>
      </c>
      <c r="H38" s="20">
        <f t="shared" si="14"/>
        <v>11500</v>
      </c>
      <c r="I38" s="19">
        <f t="shared" si="15"/>
        <v>-1</v>
      </c>
      <c r="J38" s="17">
        <f t="shared" si="16"/>
        <v>-11500</v>
      </c>
    </row>
    <row r="39" spans="1:10" x14ac:dyDescent="0.25">
      <c r="C39" s="3"/>
      <c r="D39" s="3"/>
      <c r="E39" s="3"/>
      <c r="F39" s="2"/>
      <c r="G39" s="3"/>
    </row>
    <row r="40" spans="1:10" ht="21" x14ac:dyDescent="0.25">
      <c r="A40" s="38" t="s">
        <v>99</v>
      </c>
      <c r="B40" s="38"/>
      <c r="C40" s="23">
        <f>SUM(C41:C42)</f>
        <v>0</v>
      </c>
      <c r="D40" s="23">
        <f t="shared" ref="D40" si="17">SUM(D41:D42)</f>
        <v>19936</v>
      </c>
      <c r="E40" s="23">
        <f t="shared" ref="E40" si="18">SUM(E41:E42)</f>
        <v>54095</v>
      </c>
      <c r="F40" s="24"/>
      <c r="G40" s="24"/>
      <c r="H40" s="24"/>
      <c r="I40" s="24"/>
      <c r="J40" s="24"/>
    </row>
    <row r="41" spans="1:10" x14ac:dyDescent="0.25">
      <c r="A41" t="s">
        <v>100</v>
      </c>
      <c r="C41" s="4"/>
      <c r="D41" s="4"/>
      <c r="E41" s="4">
        <v>54095</v>
      </c>
      <c r="F41" s="7"/>
      <c r="G41" s="8" t="e">
        <f t="shared" ref="G41:G42" si="19">(D41-C41)/C41</f>
        <v>#DIV/0!</v>
      </c>
      <c r="H41" s="9">
        <f t="shared" ref="H41:H42" si="20">D41-C41</f>
        <v>0</v>
      </c>
      <c r="I41" s="8" t="e">
        <f t="shared" ref="I41:I42" si="21">(E41-D41)/D41</f>
        <v>#DIV/0!</v>
      </c>
      <c r="J41" s="4">
        <f t="shared" ref="J41:J42" si="22">E41-D41</f>
        <v>54095</v>
      </c>
    </row>
    <row r="42" spans="1:10" x14ac:dyDescent="0.25">
      <c r="A42" s="26" t="s">
        <v>101</v>
      </c>
      <c r="B42" s="26"/>
      <c r="C42" s="17"/>
      <c r="D42" s="17">
        <v>19936</v>
      </c>
      <c r="E42" s="17"/>
      <c r="F42" s="18"/>
      <c r="G42" s="19" t="e">
        <f t="shared" si="19"/>
        <v>#DIV/0!</v>
      </c>
      <c r="H42" s="20">
        <f t="shared" si="20"/>
        <v>19936</v>
      </c>
      <c r="I42" s="19">
        <f t="shared" si="21"/>
        <v>-1</v>
      </c>
      <c r="J42" s="17">
        <f t="shared" si="22"/>
        <v>-19936</v>
      </c>
    </row>
    <row r="43" spans="1:10" x14ac:dyDescent="0.25">
      <c r="C43" s="3"/>
      <c r="D43" s="3"/>
      <c r="E43" s="3"/>
      <c r="F43" s="2"/>
      <c r="G43" s="3"/>
    </row>
    <row r="44" spans="1:10" ht="21" x14ac:dyDescent="0.25">
      <c r="A44" s="38" t="s">
        <v>69</v>
      </c>
      <c r="B44" s="38"/>
      <c r="C44" s="23">
        <f>SUM(C45:C46)</f>
        <v>67830</v>
      </c>
      <c r="D44" s="23">
        <f t="shared" ref="D44" si="23">SUM(D45:D46)</f>
        <v>112500</v>
      </c>
      <c r="E44" s="23">
        <f t="shared" ref="E44" si="24">SUM(E45:E46)</f>
        <v>148700</v>
      </c>
      <c r="F44" s="24"/>
      <c r="G44" s="24"/>
      <c r="H44" s="24"/>
      <c r="I44" s="24"/>
      <c r="J44" s="24"/>
    </row>
    <row r="45" spans="1:10" x14ac:dyDescent="0.25">
      <c r="A45" t="s">
        <v>70</v>
      </c>
      <c r="C45" s="4">
        <v>67830</v>
      </c>
      <c r="D45" s="4">
        <v>112500</v>
      </c>
      <c r="E45" s="4">
        <v>88700</v>
      </c>
      <c r="F45" s="7"/>
      <c r="G45" s="8">
        <f t="shared" ref="G45:G46" si="25">(D45-C45)/C45</f>
        <v>0.65855816010614776</v>
      </c>
      <c r="H45" s="9">
        <f t="shared" ref="H45:H46" si="26">D45-C45</f>
        <v>44670</v>
      </c>
      <c r="I45" s="8">
        <f t="shared" ref="I45:I46" si="27">(E45-D45)/D45</f>
        <v>-0.21155555555555555</v>
      </c>
      <c r="J45" s="4">
        <f t="shared" ref="J45:J46" si="28">E45-D45</f>
        <v>-23800</v>
      </c>
    </row>
    <row r="46" spans="1:10" x14ac:dyDescent="0.25">
      <c r="A46" s="26" t="s">
        <v>71</v>
      </c>
      <c r="B46" s="26"/>
      <c r="C46" s="17"/>
      <c r="D46" s="17"/>
      <c r="E46" s="17">
        <v>60000</v>
      </c>
      <c r="F46" s="18"/>
      <c r="G46" s="19" t="e">
        <f t="shared" si="25"/>
        <v>#DIV/0!</v>
      </c>
      <c r="H46" s="20">
        <f t="shared" si="26"/>
        <v>0</v>
      </c>
      <c r="I46" s="19" t="e">
        <f t="shared" si="27"/>
        <v>#DIV/0!</v>
      </c>
      <c r="J46" s="17">
        <f t="shared" si="28"/>
        <v>60000</v>
      </c>
    </row>
    <row r="47" spans="1:10" x14ac:dyDescent="0.25">
      <c r="C47" s="3"/>
      <c r="D47" s="3"/>
      <c r="E47" s="3"/>
      <c r="F47" s="2"/>
      <c r="G47" s="3"/>
    </row>
  </sheetData>
  <mergeCells count="11">
    <mergeCell ref="A44:B44"/>
    <mergeCell ref="A1:B2"/>
    <mergeCell ref="G2:H2"/>
    <mergeCell ref="I2:J2"/>
    <mergeCell ref="A5:B5"/>
    <mergeCell ref="A8:B8"/>
    <mergeCell ref="A16:B16"/>
    <mergeCell ref="A19:B19"/>
    <mergeCell ref="A28:B28"/>
    <mergeCell ref="A36:B36"/>
    <mergeCell ref="A40:B40"/>
  </mergeCells>
  <pageMargins left="0.7" right="0.7" top="0.75" bottom="0.75" header="0.3" footer="0.3"/>
  <pageSetup paperSize="9" scale="9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GİDER</vt:lpstr>
      <vt:lpstr>Sayfa1</vt:lpstr>
      <vt:lpstr>GELİR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Çakır</dc:creator>
  <cp:lastModifiedBy>a88799</cp:lastModifiedBy>
  <cp:lastPrinted>2026-01-14T17:29:03Z</cp:lastPrinted>
  <dcterms:created xsi:type="dcterms:W3CDTF">2015-06-05T18:17:20Z</dcterms:created>
  <dcterms:modified xsi:type="dcterms:W3CDTF">2026-01-15T12:01:13Z</dcterms:modified>
</cp:coreProperties>
</file>